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Historical P&amp;L" sheetId="2" state="visible" r:id="rId2"/>
    <sheet name="Historical BS" sheetId="3" state="visible" r:id="rId3"/>
    <sheet name="Historical CF" sheetId="4" state="visible" r:id="rId4"/>
    <sheet name="Historical Notes" sheetId="5" state="visible" r:id="rId5"/>
    <sheet name="Historical KPIs" sheetId="6" state="visible" r:id="rId6"/>
    <sheet name="Assumptions" sheetId="7" state="visible" r:id="rId7"/>
    <sheet name="Bed Capacity" sheetId="8" state="visible" r:id="rId8"/>
    <sheet name="Occupancy ARPOB" sheetId="9" state="visible" r:id="rId9"/>
    <sheet name="Revenue Build" sheetId="10" state="visible" r:id="rId10"/>
    <sheet name="Direct Cost GP" sheetId="11" state="visible" r:id="rId11"/>
    <sheet name="Opex Build" sheetId="12" state="visible" r:id="rId12"/>
    <sheet name="EBITDA Build" sheetId="13" state="visible" r:id="rId13"/>
    <sheet name="Capex Expansion" sheetId="14" state="visible" r:id="rId14"/>
    <sheet name="PPE Depreciation" sheetId="15" state="visible" r:id="rId15"/>
    <sheet name="Working Capital" sheetId="16" state="visible" r:id="rId16"/>
    <sheet name="Debt Schedule" sheetId="17" state="visible" r:id="rId17"/>
    <sheet name="Lease Schedule" sheetId="18" state="visible" r:id="rId18"/>
    <sheet name="Tax Schedule" sheetId="19" state="visible" r:id="rId19"/>
    <sheet name="Integrated IS" sheetId="20" state="visible" r:id="rId20"/>
    <sheet name="Integrated BS" sheetId="21" state="visible" r:id="rId21"/>
    <sheet name="Integrated CF" sheetId="22" state="visible" r:id="rId22"/>
    <sheet name="Scenario Analysis" sheetId="23" state="visible" r:id="rId23"/>
    <sheet name="DCF" sheetId="24" state="visible" r:id="rId24"/>
    <sheet name="Relative Valuation" sheetId="25" state="visible" r:id="rId25"/>
    <sheet name="SoTP Street" sheetId="26" state="visible" r:id="rId26"/>
    <sheet name="Sensitivity" sheetId="27" state="visible" r:id="rId27"/>
    <sheet name="Source Log" sheetId="28" state="visible" r:id="rId28"/>
    <sheet name="Guidance Tracker" sheetId="29" state="visible" r:id="rId29"/>
    <sheet name="Model Check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&quot;x&quot;"/>
  </numFmts>
  <fonts count="2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08080"/>
      <sz val="9"/>
    </font>
    <font>
      <b val="1"/>
      <color rgb="00FFFFFF"/>
    </font>
    <font>
      <color rgb="00000000"/>
    </font>
    <font>
      <color rgb="000000CC"/>
    </font>
    <font>
      <b val="1"/>
      <color rgb="00000000"/>
    </font>
    <font>
      <i val="1"/>
      <color rgb="00C00000"/>
      <sz val="8"/>
    </font>
    <font>
      <b val="1"/>
      <color rgb="000000CC"/>
    </font>
    <font>
      <color rgb="00008000"/>
    </font>
    <font>
      <i val="1"/>
      <color rgb="00808080"/>
      <sz val="8"/>
    </font>
    <font>
      <sz val="9"/>
    </font>
    <font>
      <sz val="8"/>
    </font>
    <font>
      <b val="1"/>
      <color rgb="00008000"/>
    </font>
    <font>
      <b val="1"/>
      <i val="1"/>
      <sz val="9"/>
    </font>
    <font>
      <b val="1"/>
    </font>
    <font/>
    <font>
      <i val="1"/>
      <color rgb="00404040"/>
      <sz val="9"/>
    </font>
    <font>
      <color rgb="000000CC"/>
      <sz val="9"/>
    </font>
    <font>
      <color rgb="00000000"/>
      <sz val="9"/>
    </font>
    <font>
      <b val="1"/>
      <color rgb="001F3864"/>
      <sz val="18"/>
    </font>
    <font>
      <i val="1"/>
      <color rgb="00404040"/>
      <sz val="11"/>
    </font>
    <font>
      <color rgb="00808080"/>
      <sz val="9"/>
    </font>
    <font>
      <b val="1"/>
      <color rgb="00006100"/>
    </font>
    <font>
      <color rgb="001F3864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D6DCE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3" fillId="0" borderId="0" pivotButton="0" quotePrefix="0" xfId="0"/>
    <xf numFmtId="4" fontId="9" fillId="0" borderId="0" pivotButton="0" quotePrefix="0" xfId="0"/>
    <xf numFmtId="4" fontId="13" fillId="0" borderId="0" pivotButton="0" quotePrefix="0" xfId="0"/>
    <xf numFmtId="164" fontId="9" fillId="0" borderId="0" pivotButton="0" quotePrefix="0" xfId="0"/>
    <xf numFmtId="0" fontId="17" fillId="0" borderId="0" pivotButton="0" quotePrefix="0" xfId="0"/>
    <xf numFmtId="0" fontId="3" fillId="3" borderId="0" applyAlignment="1" pivotButton="0" quotePrefix="0" xfId="0">
      <alignment horizontal="center"/>
    </xf>
    <xf numFmtId="3" fontId="9" fillId="0" borderId="0" pivotButton="0" quotePrefix="0" xfId="0"/>
    <xf numFmtId="0" fontId="2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3" fontId="5" fillId="0" borderId="0" pivotButton="0" quotePrefix="0" xfId="0"/>
    <xf numFmtId="3" fontId="6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3" fontId="4" fillId="0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4" fillId="0" borderId="0" pivotButton="0" quotePrefix="0" xfId="0"/>
    <xf numFmtId="0" fontId="7" fillId="0" borderId="0" pivotButton="0" quotePrefix="0" xfId="0"/>
    <xf numFmtId="4" fontId="4" fillId="0" borderId="0" pivotButton="0" quotePrefix="0" xfId="0"/>
    <xf numFmtId="3" fontId="8" fillId="0" borderId="0" pivotButton="0" quotePrefix="0" xfId="0"/>
    <xf numFmtId="0" fontId="10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164" fontId="5" fillId="0" borderId="0" pivotButton="0" quotePrefix="0" xfId="0"/>
    <xf numFmtId="165" fontId="5" fillId="0" borderId="0" pivotButton="0" quotePrefix="0" xfId="0"/>
    <xf numFmtId="166" fontId="9" fillId="0" borderId="0" pivotButton="0" quotePrefix="0" xfId="0"/>
    <xf numFmtId="0" fontId="3" fillId="3" borderId="0" applyAlignment="1" pivotButton="0" quotePrefix="0" xfId="0">
      <alignment wrapText="1"/>
    </xf>
    <xf numFmtId="0" fontId="12" fillId="0" borderId="0" applyAlignment="1" pivotButton="0" quotePrefix="0" xfId="0">
      <alignment vertical="top" wrapText="1"/>
    </xf>
    <xf numFmtId="0" fontId="12" fillId="0" borderId="0" pivotButton="0" quotePrefix="0" xfId="0"/>
    <xf numFmtId="4" fontId="5" fillId="0" borderId="0" pivotButton="0" quotePrefix="0" xfId="0"/>
    <xf numFmtId="165" fontId="13" fillId="0" borderId="0" pivotButton="0" quotePrefix="0" xfId="0"/>
    <xf numFmtId="165" fontId="9" fillId="0" borderId="0" pivotButton="0" quotePrefix="0" xfId="0"/>
    <xf numFmtId="0" fontId="14" fillId="0" borderId="0" pivotButton="0" quotePrefix="0" xfId="0"/>
    <xf numFmtId="164" fontId="6" fillId="0" borderId="0" pivotButton="0" quotePrefix="0" xfId="0"/>
    <xf numFmtId="3" fontId="13" fillId="0" borderId="0" pivotButton="0" quotePrefix="0" xfId="0"/>
    <xf numFmtId="165" fontId="4" fillId="0" borderId="0" pivotButton="0" quotePrefix="0" xfId="0"/>
    <xf numFmtId="4" fontId="6" fillId="0" borderId="0" pivotButton="0" quotePrefix="0" xfId="0"/>
    <xf numFmtId="3" fontId="13" fillId="5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5" fillId="4" borderId="1" pivotButton="0" quotePrefix="0" xfId="0"/>
    <xf numFmtId="3" fontId="5" fillId="4" borderId="1" pivotButton="0" quotePrefix="0" xfId="0"/>
    <xf numFmtId="165" fontId="5" fillId="4" borderId="1" pivotButton="0" quotePrefix="0" xfId="0"/>
    <xf numFmtId="164" fontId="5" fillId="4" borderId="1" pivotButton="0" quotePrefix="0" xfId="0"/>
    <xf numFmtId="166" fontId="5" fillId="4" borderId="1" pivotButton="0" quotePrefix="0" xfId="0"/>
    <xf numFmtId="0" fontId="16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166" fontId="5" fillId="0" borderId="1" pivotButton="0" quotePrefix="0" xfId="0"/>
    <xf numFmtId="164" fontId="13" fillId="0" borderId="0" pivotButton="0" quotePrefix="0" xfId="0"/>
    <xf numFmtId="0" fontId="3" fillId="3" borderId="1" pivotButton="0" quotePrefix="0" xfId="0"/>
    <xf numFmtId="0" fontId="18" fillId="0" borderId="1" pivotButton="0" quotePrefix="0" xfId="0"/>
    <xf numFmtId="0" fontId="6" fillId="3" borderId="0" pivotButton="0" quotePrefix="0" xfId="0"/>
    <xf numFmtId="164" fontId="3" fillId="3" borderId="0" applyAlignment="1" pivotButton="0" quotePrefix="0" xfId="0">
      <alignment horizontal="center"/>
    </xf>
    <xf numFmtId="164" fontId="3" fillId="3" borderId="0" pivotButton="0" quotePrefix="0" xfId="0"/>
    <xf numFmtId="3" fontId="9" fillId="0" borderId="1" pivotButton="0" quotePrefix="0" xfId="0"/>
    <xf numFmtId="0" fontId="3" fillId="3" borderId="1" applyAlignment="1" pivotButton="0" quotePrefix="0" xfId="0">
      <alignment wrapText="1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20" customWidth="1" min="4" max="4"/>
    <col width="26" customWidth="1" min="5" max="5"/>
  </cols>
  <sheetData>
    <row r="2">
      <c r="B2" s="1" t="inlineStr">
        <is>
          <t>MAX HEALTHCARE INSTITUTE LTD (MAXHEALTH)</t>
        </is>
      </c>
    </row>
    <row r="3">
      <c r="B3" s="2" t="inlineStr">
        <is>
          <t>Integrated Financial Model &amp; Equity Research  |  FY20A-FY26A actuals, FY27E-FY33E forecast</t>
        </is>
      </c>
    </row>
    <row r="4">
      <c r="B4" s="3" t="inlineStr">
        <is>
          <t>Units: INR Crore (1 Cr = 100 lakh) unless stated. Consolidated financials. Prepared Jul-2026.</t>
        </is>
      </c>
    </row>
    <row r="6">
      <c r="B6" s="4" t="inlineStr">
        <is>
          <t>RECOMMENDATION</t>
        </is>
      </c>
    </row>
    <row r="7">
      <c r="B7" s="5" t="inlineStr">
        <is>
          <t>Rating</t>
        </is>
      </c>
      <c r="C7" s="6" t="inlineStr">
        <is>
          <t>BUY / ACCUMULATE</t>
        </is>
      </c>
    </row>
    <row r="8">
      <c r="B8" s="5" t="inlineStr">
        <is>
          <t>Current price (Rs)</t>
        </is>
      </c>
      <c r="C8" s="7">
        <f>'Assumptions'!I43</f>
        <v/>
      </c>
    </row>
    <row r="9">
      <c r="B9" s="4" t="inlineStr">
        <is>
          <t>Target price - SoTP/Relative blend (Rs)</t>
        </is>
      </c>
      <c r="C9" s="8">
        <f>'SoTP Street'!C32</f>
        <v/>
      </c>
      <c r="D9" s="9">
        <f>'SoTP Street'!C32/'Assumptions'!I43-1</f>
        <v/>
      </c>
    </row>
    <row r="10">
      <c r="B10" s="5" t="inlineStr">
        <is>
          <t xml:space="preserve">   SoTP target (12M fwd, FY28E)</t>
        </is>
      </c>
      <c r="C10" s="7">
        <f>'SoTP Street'!C23</f>
        <v/>
      </c>
    </row>
    <row r="11">
      <c r="B11" s="5" t="inlineStr">
        <is>
          <t xml:space="preserve">   Relative EV/EBITDA / P/E (Rs)</t>
        </is>
      </c>
      <c r="C11" s="7">
        <f>'Relative Valuation'!C17</f>
        <v/>
      </c>
      <c r="D11" s="7">
        <f>'Relative Valuation'!C19</f>
        <v/>
      </c>
    </row>
    <row r="12">
      <c r="B12" s="5" t="inlineStr">
        <is>
          <t xml:space="preserve">   DCF: exit-multiple / Gordon (Rs)</t>
        </is>
      </c>
      <c r="C12" s="7">
        <f>'DCF'!C38</f>
        <v/>
      </c>
      <c r="D12" s="7">
        <f>'DCF'!C33</f>
        <v/>
      </c>
    </row>
    <row r="13">
      <c r="B13" s="10" t="inlineStr">
        <is>
          <t>Street consensus BUY, avg Rs 1,148 (26 analysts). Primary methodology = forward EV/EBITDA / SoTP (sector norm); Gordon DCF (~Rs590) is the downside/valuation-risk anchor.</t>
        </is>
      </c>
    </row>
    <row r="15">
      <c r="B15" s="4" t="inlineStr">
        <is>
          <t>KEY FINANCIALS (Rs Cr)</t>
        </is>
      </c>
    </row>
    <row r="16">
      <c r="C16" s="11" t="inlineStr">
        <is>
          <t>FY26A</t>
        </is>
      </c>
      <c r="D16" s="11" t="inlineStr">
        <is>
          <t>FY30E</t>
        </is>
      </c>
      <c r="E16" s="11" t="inlineStr">
        <is>
          <t>FY33E</t>
        </is>
      </c>
    </row>
    <row r="17">
      <c r="B17" s="5" t="inlineStr">
        <is>
          <t>Revenue</t>
        </is>
      </c>
      <c r="C17" s="12">
        <f>'Integrated IS'!H5</f>
        <v/>
      </c>
      <c r="D17" s="12">
        <f>'Integrated IS'!L5</f>
        <v/>
      </c>
      <c r="E17" s="12">
        <f>'Integrated IS'!O5</f>
        <v/>
      </c>
    </row>
    <row r="18">
      <c r="B18" s="5" t="inlineStr">
        <is>
          <t>EBITDA</t>
        </is>
      </c>
      <c r="C18" s="12">
        <f>'Integrated IS'!H13</f>
        <v/>
      </c>
      <c r="D18" s="12">
        <f>'Integrated IS'!L13</f>
        <v/>
      </c>
      <c r="E18" s="12">
        <f>'Integrated IS'!O13</f>
        <v/>
      </c>
    </row>
    <row r="19">
      <c r="B19" s="5" t="inlineStr">
        <is>
          <t>PAT</t>
        </is>
      </c>
      <c r="C19" s="12">
        <f>'Integrated IS'!H25</f>
        <v/>
      </c>
      <c r="D19" s="12">
        <f>'Integrated IS'!L25</f>
        <v/>
      </c>
      <c r="E19" s="12">
        <f>'Integrated IS'!O25</f>
        <v/>
      </c>
    </row>
    <row r="20">
      <c r="B20" s="5" t="inlineStr">
        <is>
          <t>EPS (Rs)</t>
        </is>
      </c>
      <c r="C20" s="7">
        <f>'Integrated IS'!H27</f>
        <v/>
      </c>
      <c r="D20" s="7">
        <f>'Integrated IS'!L27</f>
        <v/>
      </c>
      <c r="E20" s="7">
        <f>'Integrated IS'!O27</f>
        <v/>
      </c>
    </row>
    <row r="22">
      <c r="B22" s="5" t="inlineStr">
        <is>
          <t>WACC</t>
        </is>
      </c>
      <c r="C22" s="9">
        <f>'DCF'!C14</f>
        <v/>
      </c>
    </row>
    <row r="23">
      <c r="B23" s="5" t="inlineStr">
        <is>
          <t>Terminal growth</t>
        </is>
      </c>
      <c r="C23" s="9">
        <f>'Assumptions'!I42</f>
        <v/>
      </c>
    </row>
    <row r="24">
      <c r="B24" s="5" t="inlineStr">
        <is>
          <t>Credit rating (CARE)</t>
        </is>
      </c>
      <c r="C24" s="5" t="inlineStr">
        <is>
          <t>AA+ / Stable</t>
        </is>
      </c>
    </row>
    <row r="26">
      <c r="B26" s="4" t="inlineStr">
        <is>
          <t>CONTENTS</t>
        </is>
      </c>
    </row>
    <row r="27">
      <c r="B27" s="13" t="inlineStr">
        <is>
          <t>1 Cover</t>
        </is>
      </c>
    </row>
    <row r="28">
      <c r="B28" s="13" t="inlineStr">
        <is>
          <t>2 Historical P&amp;L</t>
        </is>
      </c>
    </row>
    <row r="29">
      <c r="B29" s="13" t="inlineStr">
        <is>
          <t>3 Historical BS</t>
        </is>
      </c>
    </row>
    <row r="30">
      <c r="B30" s="13" t="inlineStr">
        <is>
          <t>4 Historical CF</t>
        </is>
      </c>
    </row>
    <row r="31">
      <c r="B31" s="13" t="inlineStr">
        <is>
          <t>5 Historical Notes</t>
        </is>
      </c>
    </row>
    <row r="32">
      <c r="B32" s="13" t="inlineStr">
        <is>
          <t>6 Historical KPIs</t>
        </is>
      </c>
    </row>
    <row r="33">
      <c r="B33" s="13" t="inlineStr">
        <is>
          <t>7 Assumptions</t>
        </is>
      </c>
    </row>
    <row r="34">
      <c r="B34" s="13" t="inlineStr">
        <is>
          <t>8-11 Operating model (Beds/Occupancy/ARPOB/Revenue)</t>
        </is>
      </c>
    </row>
    <row r="35">
      <c r="B35" s="13" t="inlineStr">
        <is>
          <t>12 Direct Cost &amp; GP</t>
        </is>
      </c>
    </row>
    <row r="36">
      <c r="B36" s="13" t="inlineStr">
        <is>
          <t>13 Opex</t>
        </is>
      </c>
    </row>
    <row r="37">
      <c r="B37" s="13" t="inlineStr">
        <is>
          <t>14 EBITDA</t>
        </is>
      </c>
    </row>
    <row r="38">
      <c r="B38" s="13" t="inlineStr">
        <is>
          <t>15 Capex</t>
        </is>
      </c>
    </row>
    <row r="39">
      <c r="B39" s="13" t="inlineStr">
        <is>
          <t>16 PPE &amp; Depreciation</t>
        </is>
      </c>
    </row>
    <row r="40">
      <c r="B40" s="13" t="inlineStr">
        <is>
          <t>17 Working Capital</t>
        </is>
      </c>
    </row>
    <row r="41">
      <c r="B41" s="13" t="inlineStr">
        <is>
          <t>18 Debt</t>
        </is>
      </c>
    </row>
    <row r="42">
      <c r="B42" s="13" t="inlineStr">
        <is>
          <t>19 Lease</t>
        </is>
      </c>
    </row>
    <row r="43">
      <c r="B43" s="13" t="inlineStr">
        <is>
          <t>20 Tax</t>
        </is>
      </c>
    </row>
    <row r="44">
      <c r="B44" s="13" t="inlineStr">
        <is>
          <t>21 Integrated IS</t>
        </is>
      </c>
    </row>
    <row r="45">
      <c r="B45" s="13" t="inlineStr">
        <is>
          <t>22 Integrated BS</t>
        </is>
      </c>
    </row>
    <row r="46">
      <c r="B46" s="13" t="inlineStr">
        <is>
          <t>23 Integrated CF</t>
        </is>
      </c>
    </row>
    <row r="47">
      <c r="B47" s="13" t="inlineStr">
        <is>
          <t>24 Scenario</t>
        </is>
      </c>
    </row>
    <row r="48">
      <c r="B48" s="13" t="inlineStr">
        <is>
          <t>25 DCF</t>
        </is>
      </c>
    </row>
    <row r="49">
      <c r="B49" s="13" t="inlineStr">
        <is>
          <t>26 Relative Valuation</t>
        </is>
      </c>
    </row>
    <row r="50">
      <c r="B50" s="13" t="inlineStr">
        <is>
          <t>27 Sensitivity</t>
        </is>
      </c>
    </row>
    <row r="51">
      <c r="B51" s="13" t="inlineStr">
        <is>
          <t>28 Source Log</t>
        </is>
      </c>
    </row>
    <row r="52">
      <c r="B52" s="13" t="inlineStr">
        <is>
          <t>29 Guidance Tracker</t>
        </is>
      </c>
    </row>
    <row r="53">
      <c r="B53" s="13" t="inlineStr">
        <is>
          <t>30 Model Checks</t>
        </is>
      </c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2.  HISTORICAL CONSOLIDATED STATEMENT OF PROFIT &amp; LOSS  (FY20A-FY26A)</t>
        </is>
      </c>
    </row>
    <row r="3">
      <c r="A3" s="15" t="inlineStr">
        <is>
          <t>Source: Consolidated P&amp;L, Max Healthcare Annual Reports FY21-FY26 (reported in INR lakh; shown in INR Crore = lakh/100). Reported classification preserved.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5" t="inlineStr">
        <is>
          <t>Revenue from operations</t>
        </is>
      </c>
      <c r="B5" s="17" t="n">
        <v>1059.03</v>
      </c>
      <c r="C5" s="17" t="n">
        <v>2504.67</v>
      </c>
      <c r="D5" s="17" t="n">
        <v>3936.55</v>
      </c>
      <c r="E5" s="17" t="n">
        <v>4562.6</v>
      </c>
      <c r="F5" s="17" t="n">
        <v>5406.02</v>
      </c>
      <c r="G5" s="17" t="n">
        <v>7028.46</v>
      </c>
      <c r="H5" s="17" t="n">
        <v>8373.450000000001</v>
      </c>
    </row>
    <row r="6">
      <c r="A6" s="5" t="inlineStr">
        <is>
          <t>Other income</t>
        </is>
      </c>
      <c r="B6" s="17" t="n">
        <v>48.08</v>
      </c>
      <c r="C6" s="17" t="n">
        <v>114.74</v>
      </c>
      <c r="D6" s="17" t="n">
        <v>122.27</v>
      </c>
      <c r="E6" s="17" t="n">
        <v>139.24</v>
      </c>
      <c r="F6" s="17" t="n">
        <v>176.94</v>
      </c>
      <c r="G6" s="17" t="n">
        <v>155.64</v>
      </c>
      <c r="H6" s="17" t="n">
        <v>162.62</v>
      </c>
    </row>
    <row r="7">
      <c r="A7" s="4" t="inlineStr">
        <is>
          <t>Total income</t>
        </is>
      </c>
      <c r="B7" s="18">
        <f>B5+B6</f>
        <v/>
      </c>
      <c r="C7" s="18">
        <f>C5+C6</f>
        <v/>
      </c>
      <c r="D7" s="18">
        <f>D5+D6</f>
        <v/>
      </c>
      <c r="E7" s="18">
        <f>E5+E6</f>
        <v/>
      </c>
      <c r="F7" s="18">
        <f>F5+F6</f>
        <v/>
      </c>
      <c r="G7" s="18">
        <f>G5+G6</f>
        <v/>
      </c>
      <c r="H7" s="18">
        <f>H5+H6</f>
        <v/>
      </c>
    </row>
    <row r="8">
      <c r="A8" s="19" t="inlineStr">
        <is>
          <t>Expenses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>
      <c r="A9" s="5" t="inlineStr">
        <is>
          <t>Purchase of drugs, consumables &amp; implants</t>
        </is>
      </c>
      <c r="B9" s="17" t="n">
        <v>229.35</v>
      </c>
      <c r="C9" s="17" t="n">
        <v>580.51</v>
      </c>
      <c r="D9" s="17" t="n">
        <v>930.46</v>
      </c>
      <c r="E9" s="17" t="n">
        <v>936.88</v>
      </c>
      <c r="F9" s="17" t="n">
        <v>1119.04</v>
      </c>
      <c r="G9" s="17" t="n">
        <v>1496.41</v>
      </c>
      <c r="H9" s="17" t="n">
        <v>1798.75</v>
      </c>
    </row>
    <row r="10">
      <c r="A10" s="5" t="inlineStr">
        <is>
          <t>Change in inventories</t>
        </is>
      </c>
      <c r="B10" s="17" t="n">
        <v>-12.04</v>
      </c>
      <c r="C10" s="17" t="n">
        <v>13.9</v>
      </c>
      <c r="D10" s="17" t="n">
        <v>-7.56</v>
      </c>
      <c r="E10" s="17" t="n">
        <v>-14.87</v>
      </c>
      <c r="F10" s="17" t="n">
        <v>-0.52</v>
      </c>
      <c r="G10" s="17" t="n">
        <v>-19.36</v>
      </c>
      <c r="H10" s="17" t="n">
        <v>-8.73</v>
      </c>
    </row>
    <row r="11">
      <c r="A11" s="5" t="inlineStr">
        <is>
          <t>Employee benefits expense</t>
        </is>
      </c>
      <c r="B11" s="17" t="n">
        <v>230.13</v>
      </c>
      <c r="C11" s="17" t="n">
        <v>588.78</v>
      </c>
      <c r="D11" s="17" t="n">
        <v>759.92</v>
      </c>
      <c r="E11" s="17" t="n">
        <v>809.35</v>
      </c>
      <c r="F11" s="17" t="n">
        <v>934.4</v>
      </c>
      <c r="G11" s="17" t="n">
        <v>1174.01</v>
      </c>
      <c r="H11" s="17" t="n">
        <v>1357.12</v>
      </c>
    </row>
    <row r="12">
      <c r="A12" s="5" t="inlineStr">
        <is>
          <t>Professional &amp; consultancy fee</t>
        </is>
      </c>
      <c r="B12" s="17" t="n">
        <v>246.94</v>
      </c>
      <c r="C12" s="17" t="n">
        <v>532.91</v>
      </c>
      <c r="D12" s="17" t="n">
        <v>809.45</v>
      </c>
      <c r="E12" s="17" t="n">
        <v>986.3099999999999</v>
      </c>
      <c r="F12" s="17" t="n">
        <v>1116.89</v>
      </c>
      <c r="G12" s="17" t="n">
        <v>1474.7</v>
      </c>
      <c r="H12" s="17" t="n">
        <v>1794.01</v>
      </c>
    </row>
    <row r="13">
      <c r="A13" s="5" t="inlineStr">
        <is>
          <t>Other expenses</t>
        </is>
      </c>
      <c r="B13" s="17" t="n">
        <v>271.07</v>
      </c>
      <c r="C13" s="17" t="n">
        <v>384.71</v>
      </c>
      <c r="D13" s="17" t="n">
        <v>496.63</v>
      </c>
      <c r="E13" s="17" t="n">
        <v>604.4</v>
      </c>
      <c r="F13" s="17" t="n">
        <v>742.96</v>
      </c>
      <c r="G13" s="17" t="n">
        <v>1053.9</v>
      </c>
      <c r="H13" s="17" t="n">
        <v>1189.47</v>
      </c>
    </row>
    <row r="14">
      <c r="A14" s="5" t="inlineStr">
        <is>
          <t>Finance costs</t>
        </is>
      </c>
      <c r="B14" s="17" t="n">
        <v>83.23999999999999</v>
      </c>
      <c r="C14" s="17" t="n">
        <v>179.46</v>
      </c>
      <c r="D14" s="17" t="n">
        <v>100.87</v>
      </c>
      <c r="E14" s="17" t="n">
        <v>83.86</v>
      </c>
      <c r="F14" s="17" t="n">
        <v>59.89</v>
      </c>
      <c r="G14" s="17" t="n">
        <v>165.02</v>
      </c>
      <c r="H14" s="17" t="n">
        <v>235.1</v>
      </c>
    </row>
    <row r="15">
      <c r="A15" s="5" t="inlineStr">
        <is>
          <t>Depreciation &amp; amortisation</t>
        </is>
      </c>
      <c r="B15" s="17" t="n">
        <v>45.64</v>
      </c>
      <c r="C15" s="17" t="n">
        <v>174.09</v>
      </c>
      <c r="D15" s="17" t="n">
        <v>221.12</v>
      </c>
      <c r="E15" s="17" t="n">
        <v>232.19</v>
      </c>
      <c r="F15" s="17" t="n">
        <v>244.98</v>
      </c>
      <c r="G15" s="17" t="n">
        <v>359.42</v>
      </c>
      <c r="H15" s="17" t="n">
        <v>446.53</v>
      </c>
    </row>
    <row r="16">
      <c r="A16" s="4" t="inlineStr">
        <is>
          <t>Total expenses</t>
        </is>
      </c>
      <c r="B16" s="18">
        <f>B9+B10+B11+B12+B13+B14+B15</f>
        <v/>
      </c>
      <c r="C16" s="18">
        <f>C9+C10+C11+C12+C13+C14+C15</f>
        <v/>
      </c>
      <c r="D16" s="18">
        <f>D9+D10+D11+D12+D13+D14+D15</f>
        <v/>
      </c>
      <c r="E16" s="18">
        <f>E9+E10+E11+E12+E13+E14+E15</f>
        <v/>
      </c>
      <c r="F16" s="18">
        <f>F9+F10+F11+F12+F13+F14+F15</f>
        <v/>
      </c>
      <c r="G16" s="18">
        <f>G9+G10+G11+G12+G13+G14+G15</f>
        <v/>
      </c>
      <c r="H16" s="18">
        <f>H9+H10+H11+H12+H13+H14+H15</f>
        <v/>
      </c>
    </row>
    <row r="17">
      <c r="A17" s="4" t="inlineStr">
        <is>
          <t>Profit before exceptional items &amp; tax</t>
        </is>
      </c>
      <c r="B17" s="18">
        <f>B7-B16</f>
        <v/>
      </c>
      <c r="C17" s="18">
        <f>C7-C16</f>
        <v/>
      </c>
      <c r="D17" s="18">
        <f>D7-D16</f>
        <v/>
      </c>
      <c r="E17" s="18">
        <f>E7-E16</f>
        <v/>
      </c>
      <c r="F17" s="18">
        <f>F7-F16</f>
        <v/>
      </c>
      <c r="G17" s="18">
        <f>G7-G16</f>
        <v/>
      </c>
      <c r="H17" s="18">
        <f>H7-H16</f>
        <v/>
      </c>
    </row>
    <row r="18">
      <c r="A18" s="5" t="inlineStr">
        <is>
          <t>Exceptional items</t>
        </is>
      </c>
      <c r="B18" s="17" t="n">
        <v>0</v>
      </c>
      <c r="C18" s="17" t="n">
        <v>-233.7</v>
      </c>
      <c r="D18" s="17" t="n">
        <v>-9.029999999999999</v>
      </c>
      <c r="E18" s="17" t="n">
        <v>0</v>
      </c>
      <c r="F18" s="17" t="n">
        <v>0</v>
      </c>
      <c r="G18" s="17" t="n">
        <v>-73.63</v>
      </c>
      <c r="H18" s="17" t="n">
        <v>-48.24</v>
      </c>
    </row>
    <row r="19">
      <c r="A19" s="4" t="inlineStr">
        <is>
          <t>Profit before tax</t>
        </is>
      </c>
      <c r="B19" s="18">
        <f>B17+B18</f>
        <v/>
      </c>
      <c r="C19" s="18">
        <f>C17+C18</f>
        <v/>
      </c>
      <c r="D19" s="18">
        <f>D17+D18</f>
        <v/>
      </c>
      <c r="E19" s="18">
        <f>E17+E18</f>
        <v/>
      </c>
      <c r="F19" s="18">
        <f>F17+F18</f>
        <v/>
      </c>
      <c r="G19" s="18">
        <f>G17+G18</f>
        <v/>
      </c>
      <c r="H19" s="18">
        <f>H17+H18</f>
        <v/>
      </c>
    </row>
    <row r="20">
      <c r="A20" s="5" t="inlineStr">
        <is>
          <t>Total tax expense</t>
        </is>
      </c>
      <c r="B20" s="17" t="n">
        <v>-0.13</v>
      </c>
      <c r="C20" s="17" t="n">
        <v>45.85</v>
      </c>
      <c r="D20" s="17" t="n">
        <v>133.85</v>
      </c>
      <c r="E20" s="17" t="n">
        <v>-39.79</v>
      </c>
      <c r="F20" s="17" t="n">
        <v>307.68</v>
      </c>
      <c r="G20" s="17" t="n">
        <v>330.49</v>
      </c>
      <c r="H20" s="17" t="n">
        <v>233.17</v>
      </c>
    </row>
    <row r="21">
      <c r="A21" s="5" t="inlineStr">
        <is>
          <t>Profit after tax (before assoc.)</t>
        </is>
      </c>
      <c r="B21" s="21">
        <f>B19-B20</f>
        <v/>
      </c>
      <c r="C21" s="21">
        <f>C19-C20</f>
        <v/>
      </c>
      <c r="D21" s="21">
        <f>D19-D20</f>
        <v/>
      </c>
      <c r="E21" s="21">
        <f>E19-E20</f>
        <v/>
      </c>
      <c r="F21" s="21">
        <f>F19-F20</f>
        <v/>
      </c>
      <c r="G21" s="21">
        <f>G19-G20</f>
        <v/>
      </c>
      <c r="H21" s="21">
        <f>H19-H20</f>
        <v/>
      </c>
    </row>
    <row r="22">
      <c r="A22" s="5" t="inlineStr">
        <is>
          <t>Share of profit/(loss) in associate</t>
        </is>
      </c>
      <c r="B22" s="17" t="n">
        <v>46.08</v>
      </c>
      <c r="C22" s="17" t="n">
        <v>-23.05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</row>
    <row r="23">
      <c r="A23" s="22" t="inlineStr">
        <is>
          <t>Profit for the year (PAT)</t>
        </is>
      </c>
      <c r="B23" s="23">
        <f>B21+B22</f>
        <v/>
      </c>
      <c r="C23" s="23">
        <f>C21+C22</f>
        <v/>
      </c>
      <c r="D23" s="23">
        <f>D21+D22</f>
        <v/>
      </c>
      <c r="E23" s="23">
        <f>E21+E22</f>
        <v/>
      </c>
      <c r="F23" s="23">
        <f>F21+F22</f>
        <v/>
      </c>
      <c r="G23" s="23">
        <f>G21+G22</f>
        <v/>
      </c>
      <c r="H23" s="23">
        <f>H21+H22</f>
        <v/>
      </c>
    </row>
    <row r="24">
      <c r="A24" s="19" t="inlineStr">
        <is>
          <t>Analytical memo (calculated)</t>
        </is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>
      <c r="A25" s="5" t="inlineStr">
        <is>
          <t>Direct cost (drugs + chg. inventory)</t>
        </is>
      </c>
      <c r="B25" s="21">
        <f>B9+B10</f>
        <v/>
      </c>
      <c r="C25" s="21">
        <f>C9+C10</f>
        <v/>
      </c>
      <c r="D25" s="21">
        <f>D9+D10</f>
        <v/>
      </c>
      <c r="E25" s="21">
        <f>E9+E10</f>
        <v/>
      </c>
      <c r="F25" s="21">
        <f>F9+F10</f>
        <v/>
      </c>
      <c r="G25" s="21">
        <f>G9+G10</f>
        <v/>
      </c>
      <c r="H25" s="21">
        <f>H9+H10</f>
        <v/>
      </c>
    </row>
    <row r="26">
      <c r="A26" s="5" t="inlineStr">
        <is>
          <t>Analytical Gross Profit</t>
        </is>
      </c>
      <c r="B26" s="21">
        <f>B5-B25</f>
        <v/>
      </c>
      <c r="C26" s="21">
        <f>C5-C25</f>
        <v/>
      </c>
      <c r="D26" s="21">
        <f>D5-D25</f>
        <v/>
      </c>
      <c r="E26" s="21">
        <f>E5-E25</f>
        <v/>
      </c>
      <c r="F26" s="21">
        <f>F5-F25</f>
        <v/>
      </c>
      <c r="G26" s="21">
        <f>G5-G25</f>
        <v/>
      </c>
      <c r="H26" s="21">
        <f>H5-H25</f>
        <v/>
      </c>
    </row>
    <row r="27">
      <c r="A27" s="5" t="inlineStr">
        <is>
          <t xml:space="preserve">  Analytical Gross Margin %</t>
        </is>
      </c>
      <c r="B27" s="24">
        <f>B26/B5</f>
        <v/>
      </c>
      <c r="C27" s="24">
        <f>C26/C5</f>
        <v/>
      </c>
      <c r="D27" s="24">
        <f>D26/D5</f>
        <v/>
      </c>
      <c r="E27" s="24">
        <f>E26/E5</f>
        <v/>
      </c>
      <c r="F27" s="24">
        <f>F26/F5</f>
        <v/>
      </c>
      <c r="G27" s="24">
        <f>G26/G5</f>
        <v/>
      </c>
      <c r="H27" s="24">
        <f>H26/H5</f>
        <v/>
      </c>
    </row>
    <row r="28">
      <c r="A28" s="4" t="inlineStr">
        <is>
          <t>EBITDA (excl. other income)</t>
        </is>
      </c>
      <c r="B28" s="18">
        <f>B26-B11-B12-B13</f>
        <v/>
      </c>
      <c r="C28" s="18">
        <f>C26-C11-C12-C13</f>
        <v/>
      </c>
      <c r="D28" s="18">
        <f>D26-D11-D12-D13</f>
        <v/>
      </c>
      <c r="E28" s="18">
        <f>E26-E11-E12-E13</f>
        <v/>
      </c>
      <c r="F28" s="18">
        <f>F26-F11-F12-F13</f>
        <v/>
      </c>
      <c r="G28" s="18">
        <f>G26-G11-G12-G13</f>
        <v/>
      </c>
      <c r="H28" s="18">
        <f>H26-H11-H12-H13</f>
        <v/>
      </c>
    </row>
    <row r="29">
      <c r="A29" s="5" t="inlineStr">
        <is>
          <t xml:space="preserve">  EBITDA Margin %</t>
        </is>
      </c>
      <c r="B29" s="24">
        <f>B28/B5</f>
        <v/>
      </c>
      <c r="C29" s="24">
        <f>C28/C5</f>
        <v/>
      </c>
      <c r="D29" s="24">
        <f>D28/D5</f>
        <v/>
      </c>
      <c r="E29" s="24">
        <f>E28/E5</f>
        <v/>
      </c>
      <c r="F29" s="24">
        <f>F28/F5</f>
        <v/>
      </c>
      <c r="G29" s="24">
        <f>G28/G5</f>
        <v/>
      </c>
      <c r="H29" s="24">
        <f>H28/H5</f>
        <v/>
      </c>
    </row>
    <row r="30">
      <c r="A30" s="4" t="inlineStr">
        <is>
          <t>PBIDT (EBITDA + other income)</t>
        </is>
      </c>
      <c r="B30" s="18">
        <f>B28+B6</f>
        <v/>
      </c>
      <c r="C30" s="18">
        <f>C28+C6</f>
        <v/>
      </c>
      <c r="D30" s="18">
        <f>D28+D6</f>
        <v/>
      </c>
      <c r="E30" s="18">
        <f>E28+E6</f>
        <v/>
      </c>
      <c r="F30" s="18">
        <f>F28+F6</f>
        <v/>
      </c>
      <c r="G30" s="18">
        <f>G28+G6</f>
        <v/>
      </c>
      <c r="H30" s="18">
        <f>H28+H6</f>
        <v/>
      </c>
    </row>
    <row r="31">
      <c r="A31" s="5" t="inlineStr">
        <is>
          <t>Revenue growth %</t>
        </is>
      </c>
      <c r="C31" s="24">
        <f>C5/B5-1</f>
        <v/>
      </c>
      <c r="D31" s="24">
        <f>D5/C5-1</f>
        <v/>
      </c>
      <c r="E31" s="24">
        <f>E5/D5-1</f>
        <v/>
      </c>
      <c r="F31" s="24">
        <f>F5/E5-1</f>
        <v/>
      </c>
      <c r="G31" s="24">
        <f>G5/F5-1</f>
        <v/>
      </c>
      <c r="H31" s="24">
        <f>H5/G5-1</f>
        <v/>
      </c>
    </row>
    <row r="32">
      <c r="A32" s="5" t="inlineStr">
        <is>
          <t>PAT margin %</t>
        </is>
      </c>
      <c r="B32" s="24">
        <f>B23/B5</f>
        <v/>
      </c>
      <c r="C32" s="24">
        <f>C23/C5</f>
        <v/>
      </c>
      <c r="D32" s="24">
        <f>D23/D5</f>
        <v/>
      </c>
      <c r="E32" s="24">
        <f>E23/E5</f>
        <v/>
      </c>
      <c r="F32" s="24">
        <f>F23/F5</f>
        <v/>
      </c>
      <c r="G32" s="24">
        <f>G23/G5</f>
        <v/>
      </c>
      <c r="H32" s="24">
        <f>H23/H5</f>
        <v/>
      </c>
    </row>
    <row r="34">
      <c r="A34" s="25" t="inlineStr">
        <is>
          <t>Note: FY20A represents Radiant Life Care (accounting acquirer under reverse acquisition, Ind AS 103); FY21A includes 10 months of MHIL + 12 months of Radiant. FY20-FY21 are NOT strictly comparable with FY22A onwards.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3.  HISTORICAL CONSOLIDATED BALANCE SHEET  (FY20A-FY26A)</t>
        </is>
      </c>
    </row>
    <row r="3">
      <c r="A3" s="15" t="inlineStr">
        <is>
          <t>Source: Consolidated Balance Sheet, Annual Reports FY21-FY26 (INR lakh -&gt; Crore). Reported classification preserved.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19" t="inlineStr">
        <is>
          <t>ASSETS  -  Non-current assets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A6" s="5" t="inlineStr">
        <is>
          <t>Property, plant &amp; equipment</t>
        </is>
      </c>
      <c r="B6" s="17" t="n">
        <v>274.56</v>
      </c>
      <c r="C6" s="17" t="n">
        <v>1522.71</v>
      </c>
      <c r="D6" s="17" t="n">
        <v>1732.57</v>
      </c>
      <c r="E6" s="17" t="n">
        <v>1829.22</v>
      </c>
      <c r="F6" s="17" t="n">
        <v>2578.2</v>
      </c>
      <c r="G6" s="17" t="n">
        <v>4130.88</v>
      </c>
      <c r="H6" s="17" t="n">
        <v>5628</v>
      </c>
    </row>
    <row r="7">
      <c r="A7" s="5" t="inlineStr">
        <is>
          <t>Right-of-use assets</t>
        </is>
      </c>
      <c r="B7" s="17" t="n">
        <v>16.21</v>
      </c>
      <c r="C7" s="17" t="n">
        <v>225.48</v>
      </c>
      <c r="D7" s="17" t="n">
        <v>221.01</v>
      </c>
      <c r="E7" s="17" t="n">
        <v>189.86</v>
      </c>
      <c r="F7" s="17" t="n">
        <v>667.63</v>
      </c>
      <c r="G7" s="17" t="n">
        <v>1331.05</v>
      </c>
      <c r="H7" s="17" t="n">
        <v>1351.96</v>
      </c>
    </row>
    <row r="8">
      <c r="A8" s="5" t="inlineStr">
        <is>
          <t>Capital work-in-progress</t>
        </is>
      </c>
      <c r="B8" s="17" t="n">
        <v>27.55</v>
      </c>
      <c r="C8" s="17" t="n">
        <v>26.72</v>
      </c>
      <c r="D8" s="17" t="n">
        <v>104.73</v>
      </c>
      <c r="E8" s="17" t="n">
        <v>206.55</v>
      </c>
      <c r="F8" s="17" t="n">
        <v>445.25</v>
      </c>
      <c r="G8" s="17" t="n">
        <v>900.45</v>
      </c>
      <c r="H8" s="17" t="n">
        <v>592.24</v>
      </c>
    </row>
    <row r="9">
      <c r="A9" s="5" t="inlineStr">
        <is>
          <t>Investment property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63.03</v>
      </c>
      <c r="G9" s="17" t="n">
        <v>4.66</v>
      </c>
      <c r="H9" s="17" t="n">
        <v>4.66</v>
      </c>
    </row>
    <row r="10">
      <c r="A10" s="5" t="inlineStr">
        <is>
          <t>Goodwill</t>
        </is>
      </c>
      <c r="B10" s="17" t="n">
        <v>417.58</v>
      </c>
      <c r="C10" s="17" t="n">
        <v>2454.66</v>
      </c>
      <c r="D10" s="17" t="n">
        <v>2454.66</v>
      </c>
      <c r="E10" s="17" t="n">
        <v>2454.66</v>
      </c>
      <c r="F10" s="17" t="n">
        <v>2952.47</v>
      </c>
      <c r="G10" s="17" t="n">
        <v>3480.26</v>
      </c>
      <c r="H10" s="17" t="n">
        <v>3488.24</v>
      </c>
    </row>
    <row r="11">
      <c r="A11" s="5" t="inlineStr">
        <is>
          <t>Other intangible assets</t>
        </is>
      </c>
      <c r="B11" s="17" t="n">
        <v>142.6</v>
      </c>
      <c r="C11" s="17" t="n">
        <v>2333.53</v>
      </c>
      <c r="D11" s="17" t="n">
        <v>2609.34</v>
      </c>
      <c r="E11" s="17" t="n">
        <v>2564.96</v>
      </c>
      <c r="F11" s="17" t="n">
        <v>2522.36</v>
      </c>
      <c r="G11" s="17" t="n">
        <v>2554.74</v>
      </c>
      <c r="H11" s="17" t="n">
        <v>2518.2</v>
      </c>
    </row>
    <row r="12">
      <c r="A12" s="5" t="inlineStr">
        <is>
          <t>Intangible assets under development</t>
        </is>
      </c>
      <c r="B12" s="17" t="n">
        <v>0</v>
      </c>
      <c r="C12" s="17" t="n">
        <v>0.21</v>
      </c>
      <c r="D12" s="17" t="n">
        <v>46.39</v>
      </c>
      <c r="E12" s="17" t="n">
        <v>45.88</v>
      </c>
      <c r="F12" s="17" t="n">
        <v>107.79</v>
      </c>
      <c r="G12" s="17" t="n">
        <v>0.27</v>
      </c>
      <c r="H12" s="17" t="n">
        <v>0.8100000000000001</v>
      </c>
    </row>
    <row r="13">
      <c r="A13" s="5" t="inlineStr">
        <is>
          <t>Investments (non-current)</t>
        </is>
      </c>
      <c r="B13" s="17" t="n">
        <v>0</v>
      </c>
      <c r="C13" s="17" t="n">
        <v>0.51</v>
      </c>
      <c r="D13" s="17" t="n">
        <v>0.51</v>
      </c>
      <c r="E13" s="17" t="n">
        <v>0.51</v>
      </c>
      <c r="F13" s="17" t="n">
        <v>2.12</v>
      </c>
      <c r="G13" s="17" t="n">
        <v>2.89</v>
      </c>
      <c r="H13" s="17" t="n">
        <v>5.46</v>
      </c>
    </row>
    <row r="14">
      <c r="A14" s="5" t="inlineStr">
        <is>
          <t>Trade receivables (non-current)</t>
        </is>
      </c>
      <c r="B14" s="17" t="n">
        <v>0</v>
      </c>
      <c r="C14" s="17" t="n">
        <v>119.45</v>
      </c>
      <c r="D14" s="17" t="n">
        <v>107.73</v>
      </c>
      <c r="E14" s="17" t="n">
        <v>102.84</v>
      </c>
      <c r="F14" s="17" t="n">
        <v>96.56</v>
      </c>
      <c r="G14" s="17" t="n">
        <v>88.75</v>
      </c>
      <c r="H14" s="17" t="n">
        <v>79.15000000000001</v>
      </c>
    </row>
    <row r="15">
      <c r="A15" s="5" t="inlineStr">
        <is>
          <t>Loans (non-current)</t>
        </is>
      </c>
      <c r="B15" s="17" t="n">
        <v>2.84</v>
      </c>
      <c r="C15" s="17" t="n">
        <v>356.99</v>
      </c>
      <c r="D15" s="17" t="n">
        <v>173.45</v>
      </c>
      <c r="E15" s="17" t="n">
        <v>138.45</v>
      </c>
      <c r="F15" s="17" t="n">
        <v>138.45</v>
      </c>
      <c r="G15" s="17" t="n">
        <v>383.45</v>
      </c>
      <c r="H15" s="17" t="n">
        <v>746.45</v>
      </c>
    </row>
    <row r="16">
      <c r="A16" s="5" t="inlineStr">
        <is>
          <t>Other financial assets (non-current)</t>
        </is>
      </c>
      <c r="B16" s="17" t="n">
        <v>2.46</v>
      </c>
      <c r="C16" s="17" t="n">
        <v>2.41</v>
      </c>
      <c r="D16" s="17" t="n">
        <v>275.78</v>
      </c>
      <c r="E16" s="17" t="n">
        <v>206.03</v>
      </c>
      <c r="F16" s="17" t="n">
        <v>230.14</v>
      </c>
      <c r="G16" s="17" t="n">
        <v>204.04</v>
      </c>
      <c r="H16" s="17" t="n">
        <v>203.91</v>
      </c>
    </row>
    <row r="17">
      <c r="A17" s="5" t="inlineStr">
        <is>
          <t>Income tax assets (net)</t>
        </is>
      </c>
      <c r="B17" s="17" t="n">
        <v>65.45</v>
      </c>
      <c r="C17" s="17" t="n">
        <v>155.33</v>
      </c>
      <c r="D17" s="17" t="n">
        <v>155.17</v>
      </c>
      <c r="E17" s="17" t="n">
        <v>95.72</v>
      </c>
      <c r="F17" s="17" t="n">
        <v>125.24</v>
      </c>
      <c r="G17" s="17" t="n">
        <v>138.28</v>
      </c>
      <c r="H17" s="17" t="n">
        <v>264.05</v>
      </c>
    </row>
    <row r="18">
      <c r="A18" s="5" t="inlineStr">
        <is>
          <t>Deferred tax assets (net)</t>
        </is>
      </c>
      <c r="B18" s="17" t="n">
        <v>0</v>
      </c>
      <c r="C18" s="17" t="n">
        <v>0.98</v>
      </c>
      <c r="D18" s="17" t="n">
        <v>0</v>
      </c>
      <c r="E18" s="17" t="n">
        <v>0</v>
      </c>
      <c r="F18" s="17" t="n">
        <v>0</v>
      </c>
      <c r="G18" s="17" t="n">
        <v>28.04</v>
      </c>
      <c r="H18" s="17" t="n">
        <v>46.49</v>
      </c>
    </row>
    <row r="19">
      <c r="A19" s="5" t="inlineStr">
        <is>
          <t>Other non-current assets</t>
        </is>
      </c>
      <c r="B19" s="17" t="n">
        <v>109.02</v>
      </c>
      <c r="C19" s="17" t="n">
        <v>220.99</v>
      </c>
      <c r="D19" s="17" t="n">
        <v>307.5</v>
      </c>
      <c r="E19" s="17" t="n">
        <v>324.1</v>
      </c>
      <c r="F19" s="17" t="n">
        <v>364.52</v>
      </c>
      <c r="G19" s="17" t="n">
        <v>374.15</v>
      </c>
      <c r="H19" s="17" t="n">
        <v>356.53</v>
      </c>
    </row>
    <row r="20">
      <c r="A20" s="4" t="inlineStr">
        <is>
          <t>Total non-current assets</t>
        </is>
      </c>
      <c r="B20" s="18">
        <f>B6+B7+B8+B9+B10+B11+B12+B13+B14+B15+B16+B17+B18+B19</f>
        <v/>
      </c>
      <c r="C20" s="18">
        <f>C6+C7+C8+C9+C10+C11+C12+C13+C14+C15+C16+C17+C18+C19</f>
        <v/>
      </c>
      <c r="D20" s="18">
        <f>D6+D7+D8+D9+D10+D11+D12+D13+D14+D15+D16+D17+D18+D19</f>
        <v/>
      </c>
      <c r="E20" s="18">
        <f>E6+E7+E8+E9+E10+E11+E12+E13+E14+E15+E16+E17+E18+E19</f>
        <v/>
      </c>
      <c r="F20" s="18">
        <f>F6+F7+F8+F9+F10+F11+F12+F13+F14+F15+F16+F17+F18+F19</f>
        <v/>
      </c>
      <c r="G20" s="18">
        <f>G6+G7+G8+G9+G10+G11+G12+G13+G14+G15+G16+G17+G18+G19</f>
        <v/>
      </c>
      <c r="H20" s="18">
        <f>H6+H7+H8+H9+H10+H11+H12+H13+H14+H15+H16+H17+H18+H19</f>
        <v/>
      </c>
    </row>
    <row r="21">
      <c r="A21" s="19" t="inlineStr">
        <is>
          <t>Current assets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>
      <c r="A22" s="5" t="inlineStr">
        <is>
          <t>Inventories</t>
        </is>
      </c>
      <c r="B22" s="17" t="n">
        <v>26.8</v>
      </c>
      <c r="C22" s="17" t="n">
        <v>53.8</v>
      </c>
      <c r="D22" s="17" t="n">
        <v>61.36</v>
      </c>
      <c r="E22" s="17" t="n">
        <v>76.23</v>
      </c>
      <c r="F22" s="17" t="n">
        <v>79.84</v>
      </c>
      <c r="G22" s="17" t="n">
        <v>106.21</v>
      </c>
      <c r="H22" s="17" t="n">
        <v>114.28</v>
      </c>
    </row>
    <row r="23">
      <c r="A23" s="5" t="inlineStr">
        <is>
          <t>Investments (current)</t>
        </is>
      </c>
      <c r="B23" s="17" t="n">
        <v>2182.06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</row>
    <row r="24">
      <c r="A24" s="5" t="inlineStr">
        <is>
          <t>Trade receivables (current)</t>
        </is>
      </c>
      <c r="B24" s="17" t="n">
        <v>96.09</v>
      </c>
      <c r="C24" s="17" t="n">
        <v>365.89</v>
      </c>
      <c r="D24" s="17" t="n">
        <v>385.36</v>
      </c>
      <c r="E24" s="17" t="n">
        <v>336.12</v>
      </c>
      <c r="F24" s="17" t="n">
        <v>462.69</v>
      </c>
      <c r="G24" s="17" t="n">
        <v>687.3099999999999</v>
      </c>
      <c r="H24" s="17" t="n">
        <v>969.75</v>
      </c>
    </row>
    <row r="25">
      <c r="A25" s="5" t="inlineStr">
        <is>
          <t>Cash &amp; cash equivalents</t>
        </is>
      </c>
      <c r="B25" s="17" t="n">
        <v>111.01</v>
      </c>
      <c r="C25" s="17" t="n">
        <v>626.59</v>
      </c>
      <c r="D25" s="17" t="n">
        <v>309.14</v>
      </c>
      <c r="E25" s="17" t="n">
        <v>42.75</v>
      </c>
      <c r="F25" s="17" t="n">
        <v>979.84</v>
      </c>
      <c r="G25" s="17" t="n">
        <v>661.58</v>
      </c>
      <c r="H25" s="17" t="n">
        <v>665.8</v>
      </c>
    </row>
    <row r="26">
      <c r="A26" s="5" t="inlineStr">
        <is>
          <t>Bank balances other than above</t>
        </is>
      </c>
      <c r="B26" s="17" t="n">
        <v>8.56</v>
      </c>
      <c r="C26" s="17" t="n">
        <v>26.33</v>
      </c>
      <c r="D26" s="17" t="n">
        <v>190.17</v>
      </c>
      <c r="E26" s="17" t="n">
        <v>1425.32</v>
      </c>
      <c r="F26" s="17" t="n">
        <v>119.43</v>
      </c>
      <c r="G26" s="17" t="n">
        <v>20.31</v>
      </c>
      <c r="H26" s="17" t="n">
        <v>34.8</v>
      </c>
    </row>
    <row r="27">
      <c r="A27" s="5" t="inlineStr">
        <is>
          <t>Loans (current)</t>
        </is>
      </c>
      <c r="B27" s="17" t="n">
        <v>452.69</v>
      </c>
      <c r="C27" s="17" t="n">
        <v>5.43</v>
      </c>
      <c r="D27" s="17" t="n">
        <v>2.58</v>
      </c>
      <c r="E27" s="17" t="n">
        <v>0</v>
      </c>
      <c r="F27" s="17" t="n">
        <v>0</v>
      </c>
      <c r="G27" s="17" t="n">
        <v>10.37</v>
      </c>
      <c r="H27" s="17" t="n">
        <v>0</v>
      </c>
    </row>
    <row r="28">
      <c r="A28" s="5" t="inlineStr">
        <is>
          <t>Other financial assets (current)</t>
        </is>
      </c>
      <c r="B28" s="17" t="n">
        <v>17.61</v>
      </c>
      <c r="C28" s="17" t="n">
        <v>21.91</v>
      </c>
      <c r="D28" s="17" t="n">
        <v>30.1</v>
      </c>
      <c r="E28" s="17" t="n">
        <v>30.54</v>
      </c>
      <c r="F28" s="17" t="n">
        <v>41.34</v>
      </c>
      <c r="G28" s="17" t="n">
        <v>58.14</v>
      </c>
      <c r="H28" s="17" t="n">
        <v>70.56999999999999</v>
      </c>
    </row>
    <row r="29">
      <c r="A29" s="5" t="inlineStr">
        <is>
          <t>Income tax assets (net, current)</t>
        </is>
      </c>
      <c r="B29" s="17" t="n">
        <v>10.9</v>
      </c>
      <c r="C29" s="17" t="n">
        <v>6.61</v>
      </c>
      <c r="D29" s="17" t="n">
        <v>0</v>
      </c>
      <c r="E29" s="17" t="n">
        <v>15.78</v>
      </c>
      <c r="F29" s="17" t="n">
        <v>3.92</v>
      </c>
      <c r="G29" s="17" t="n">
        <v>0</v>
      </c>
      <c r="H29" s="17" t="n">
        <v>34.8</v>
      </c>
    </row>
    <row r="30">
      <c r="A30" s="5" t="inlineStr">
        <is>
          <t>Other current assets</t>
        </is>
      </c>
      <c r="B30" s="17" t="n">
        <v>9.67</v>
      </c>
      <c r="C30" s="17" t="n">
        <v>17.91</v>
      </c>
      <c r="D30" s="17" t="n">
        <v>21.58</v>
      </c>
      <c r="E30" s="17" t="n">
        <v>16.33</v>
      </c>
      <c r="F30" s="17" t="n">
        <v>19.12</v>
      </c>
      <c r="G30" s="17" t="n">
        <v>48.65</v>
      </c>
      <c r="H30" s="17" t="n">
        <v>54.79</v>
      </c>
    </row>
    <row r="31">
      <c r="A31" s="4" t="inlineStr">
        <is>
          <t>Total current assets</t>
        </is>
      </c>
      <c r="B31" s="18">
        <f>B22+B23+B24+B25+B26+B27+B28+B29+B30</f>
        <v/>
      </c>
      <c r="C31" s="18">
        <f>C22+C23+C24+C25+C26+C27+C28+C29+C30</f>
        <v/>
      </c>
      <c r="D31" s="18">
        <f>D22+D23+D24+D25+D26+D27+D28+D29+D30</f>
        <v/>
      </c>
      <c r="E31" s="18">
        <f>E22+E23+E24+E25+E26+E27+E28+E29+E30</f>
        <v/>
      </c>
      <c r="F31" s="18">
        <f>F22+F23+F24+F25+F26+F27+F28+F29+F30</f>
        <v/>
      </c>
      <c r="G31" s="18">
        <f>G22+G23+G24+G25+G26+G27+G28+G29+G30</f>
        <v/>
      </c>
      <c r="H31" s="18">
        <f>H22+H23+H24+H25+H26+H27+H28+H29+H30</f>
        <v/>
      </c>
    </row>
    <row r="32">
      <c r="A32" s="22" t="inlineStr">
        <is>
          <t>TOTAL ASSETS</t>
        </is>
      </c>
      <c r="B32" s="23">
        <f>B20+B31</f>
        <v/>
      </c>
      <c r="C32" s="23">
        <f>C20+C31</f>
        <v/>
      </c>
      <c r="D32" s="23">
        <f>D20+D31</f>
        <v/>
      </c>
      <c r="E32" s="23">
        <f>E20+E31</f>
        <v/>
      </c>
      <c r="F32" s="23">
        <f>F20+F31</f>
        <v/>
      </c>
      <c r="G32" s="23">
        <f>G20+G31</f>
        <v/>
      </c>
      <c r="H32" s="23">
        <f>H20+H31</f>
        <v/>
      </c>
    </row>
    <row r="33">
      <c r="A33" s="19" t="inlineStr">
        <is>
          <t>EQUITY &amp; LIABILITIES  -  Equity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>
      <c r="A34" s="5" t="inlineStr">
        <is>
          <t>Equity share capital</t>
        </is>
      </c>
      <c r="B34" s="17" t="n">
        <v>537.24</v>
      </c>
      <c r="C34" s="17" t="n">
        <v>965.95</v>
      </c>
      <c r="D34" s="17" t="n">
        <v>969.61</v>
      </c>
      <c r="E34" s="17" t="n">
        <v>970.92</v>
      </c>
      <c r="F34" s="17" t="n">
        <v>971.91</v>
      </c>
      <c r="G34" s="17" t="n">
        <v>972.14</v>
      </c>
      <c r="H34" s="17" t="n">
        <v>973.13</v>
      </c>
    </row>
    <row r="35">
      <c r="A35" s="5" t="inlineStr">
        <is>
          <t>Other equity</t>
        </is>
      </c>
      <c r="B35" s="17" t="n">
        <v>2015.91</v>
      </c>
      <c r="C35" s="17" t="n">
        <v>4672.73</v>
      </c>
      <c r="D35" s="17" t="n">
        <v>5312.86</v>
      </c>
      <c r="E35" s="17" t="n">
        <v>6438.67</v>
      </c>
      <c r="F35" s="17" t="n">
        <v>7436.23</v>
      </c>
      <c r="G35" s="17" t="n">
        <v>8408.73</v>
      </c>
      <c r="H35" s="17" t="n">
        <v>9773.5</v>
      </c>
    </row>
    <row r="36">
      <c r="A36" s="4" t="inlineStr">
        <is>
          <t>Total equity</t>
        </is>
      </c>
      <c r="B36" s="18">
        <f>B34+B35</f>
        <v/>
      </c>
      <c r="C36" s="18">
        <f>C34+C35</f>
        <v/>
      </c>
      <c r="D36" s="18">
        <f>D34+D35</f>
        <v/>
      </c>
      <c r="E36" s="18">
        <f>E34+E35</f>
        <v/>
      </c>
      <c r="F36" s="18">
        <f>F34+F35</f>
        <v/>
      </c>
      <c r="G36" s="18">
        <f>G34+G35</f>
        <v/>
      </c>
      <c r="H36" s="18">
        <f>H34+H35</f>
        <v/>
      </c>
    </row>
    <row r="37">
      <c r="A37" s="19" t="inlineStr">
        <is>
          <t>Non-current liabilities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>
      <c r="A38" s="5" t="inlineStr">
        <is>
          <t>Borrowings</t>
        </is>
      </c>
      <c r="B38" s="17" t="n">
        <v>106.23</v>
      </c>
      <c r="C38" s="17" t="n">
        <v>842.8200000000001</v>
      </c>
      <c r="D38" s="17" t="n">
        <v>629.41</v>
      </c>
      <c r="E38" s="17" t="n">
        <v>496.58</v>
      </c>
      <c r="F38" s="17" t="n">
        <v>1060.83</v>
      </c>
      <c r="G38" s="17" t="n">
        <v>2270.06</v>
      </c>
      <c r="H38" s="17" t="n">
        <v>2438.66</v>
      </c>
    </row>
    <row r="39">
      <c r="A39" s="5" t="inlineStr">
        <is>
          <t>Lease liabilities</t>
        </is>
      </c>
      <c r="B39" s="17" t="n">
        <v>14.45</v>
      </c>
      <c r="C39" s="17" t="n">
        <v>169.99</v>
      </c>
      <c r="D39" s="17" t="n">
        <v>170.17</v>
      </c>
      <c r="E39" s="17" t="n">
        <v>107.88</v>
      </c>
      <c r="F39" s="17" t="n">
        <v>127.64</v>
      </c>
      <c r="G39" s="17" t="n">
        <v>497.55</v>
      </c>
      <c r="H39" s="17" t="n">
        <v>539.3200000000001</v>
      </c>
    </row>
    <row r="40">
      <c r="A40" s="5" t="inlineStr">
        <is>
          <t>Other financial liabilities</t>
        </is>
      </c>
      <c r="B40" s="17" t="n">
        <v>241.89</v>
      </c>
      <c r="C40" s="17" t="n">
        <v>237.26</v>
      </c>
      <c r="D40" s="17" t="n">
        <v>378.5</v>
      </c>
      <c r="E40" s="17" t="n">
        <v>319.57</v>
      </c>
      <c r="F40" s="17" t="n">
        <v>340.05</v>
      </c>
      <c r="G40" s="17" t="n">
        <v>272.35</v>
      </c>
      <c r="H40" s="17" t="n">
        <v>268.57</v>
      </c>
    </row>
    <row r="41">
      <c r="A41" s="5" t="inlineStr">
        <is>
          <t>Provisions</t>
        </is>
      </c>
      <c r="B41" s="17" t="n">
        <v>40.66</v>
      </c>
      <c r="C41" s="17" t="n">
        <v>60.19</v>
      </c>
      <c r="D41" s="17" t="n">
        <v>59.79</v>
      </c>
      <c r="E41" s="17" t="n">
        <v>60.48</v>
      </c>
      <c r="F41" s="17" t="n">
        <v>75.47</v>
      </c>
      <c r="G41" s="17" t="n">
        <v>98.06999999999999</v>
      </c>
      <c r="H41" s="17" t="n">
        <v>127.82</v>
      </c>
    </row>
    <row r="42">
      <c r="A42" s="5" t="inlineStr">
        <is>
          <t>Deferred tax liabilities (net)</t>
        </is>
      </c>
      <c r="B42" s="17" t="n">
        <v>0</v>
      </c>
      <c r="C42" s="17" t="n">
        <v>581.92</v>
      </c>
      <c r="D42" s="17" t="n">
        <v>681.41</v>
      </c>
      <c r="E42" s="17" t="n">
        <v>437.13</v>
      </c>
      <c r="F42" s="17" t="n">
        <v>514.85</v>
      </c>
      <c r="G42" s="17" t="n">
        <v>648.1900000000001</v>
      </c>
      <c r="H42" s="17" t="n">
        <v>687.53</v>
      </c>
    </row>
    <row r="43">
      <c r="A43" s="5" t="inlineStr">
        <is>
          <t>Other non-current liabilities</t>
        </is>
      </c>
      <c r="B43" s="17" t="n">
        <v>7.33</v>
      </c>
      <c r="C43" s="17" t="n">
        <v>236.65</v>
      </c>
      <c r="D43" s="17" t="n">
        <v>230.11</v>
      </c>
      <c r="E43" s="17" t="n">
        <v>225.05</v>
      </c>
      <c r="F43" s="17" t="n">
        <v>224.25</v>
      </c>
      <c r="G43" s="17" t="n">
        <v>233.62</v>
      </c>
      <c r="H43" s="17" t="n">
        <v>235.47</v>
      </c>
    </row>
    <row r="44">
      <c r="A44" s="4" t="inlineStr">
        <is>
          <t>Total non-current liabilities</t>
        </is>
      </c>
      <c r="B44" s="18">
        <f>B38+B39+B40+B41+B42+B43</f>
        <v/>
      </c>
      <c r="C44" s="18">
        <f>C38+C39+C40+C41+C42+C43</f>
        <v/>
      </c>
      <c r="D44" s="18">
        <f>D38+D39+D40+D41+D42+D43</f>
        <v/>
      </c>
      <c r="E44" s="18">
        <f>E38+E39+E40+E41+E42+E43</f>
        <v/>
      </c>
      <c r="F44" s="18">
        <f>F38+F39+F40+F41+F42+F43</f>
        <v/>
      </c>
      <c r="G44" s="18">
        <f>G38+G39+G40+G41+G42+G43</f>
        <v/>
      </c>
      <c r="H44" s="18">
        <f>H38+H39+H40+H41+H42+H43</f>
        <v/>
      </c>
    </row>
    <row r="45">
      <c r="A45" s="19" t="inlineStr">
        <is>
          <t>Current liabilities</t>
        </is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>
      <c r="A46" s="5" t="inlineStr">
        <is>
          <t>Borrowings</t>
        </is>
      </c>
      <c r="B46" s="17" t="n">
        <v>727.37</v>
      </c>
      <c r="C46" s="17" t="n">
        <v>54.25</v>
      </c>
      <c r="D46" s="17" t="n">
        <v>97.23999999999999</v>
      </c>
      <c r="E46" s="17" t="n">
        <v>68.23999999999999</v>
      </c>
      <c r="F46" s="17" t="n">
        <v>88.79000000000001</v>
      </c>
      <c r="G46" s="17" t="n">
        <v>218.77</v>
      </c>
      <c r="H46" s="17" t="n">
        <v>468.16</v>
      </c>
    </row>
    <row r="47">
      <c r="A47" s="5" t="inlineStr">
        <is>
          <t>Lease liabilities</t>
        </is>
      </c>
      <c r="B47" s="17" t="n">
        <v>5.13</v>
      </c>
      <c r="C47" s="17" t="n">
        <v>11.07</v>
      </c>
      <c r="D47" s="17" t="n">
        <v>16.56</v>
      </c>
      <c r="E47" s="17" t="n">
        <v>16.26</v>
      </c>
      <c r="F47" s="17" t="n">
        <v>21.69</v>
      </c>
      <c r="G47" s="17" t="n">
        <v>23.91</v>
      </c>
      <c r="H47" s="17" t="n">
        <v>32.22</v>
      </c>
    </row>
    <row r="48">
      <c r="A48" s="5" t="inlineStr">
        <is>
          <t>Trade payables</t>
        </is>
      </c>
      <c r="B48" s="17" t="n">
        <v>179.63</v>
      </c>
      <c r="C48" s="17" t="n">
        <v>435.69</v>
      </c>
      <c r="D48" s="17" t="n">
        <v>444.11</v>
      </c>
      <c r="E48" s="17" t="n">
        <v>543.46</v>
      </c>
      <c r="F48" s="17" t="n">
        <v>633.01</v>
      </c>
      <c r="G48" s="17" t="n">
        <v>807.92</v>
      </c>
      <c r="H48" s="17" t="n">
        <v>859.04</v>
      </c>
    </row>
    <row r="49">
      <c r="A49" s="5" t="inlineStr">
        <is>
          <t>Other financial liabilities</t>
        </is>
      </c>
      <c r="B49" s="17" t="n">
        <v>56.19</v>
      </c>
      <c r="C49" s="17" t="n">
        <v>181.99</v>
      </c>
      <c r="D49" s="17" t="n">
        <v>92.53</v>
      </c>
      <c r="E49" s="17" t="n">
        <v>284.56</v>
      </c>
      <c r="F49" s="17" t="n">
        <v>326.06</v>
      </c>
      <c r="G49" s="17" t="n">
        <v>521.8099999999999</v>
      </c>
      <c r="H49" s="17" t="n">
        <v>572.53</v>
      </c>
    </row>
    <row r="50">
      <c r="A50" s="5" t="inlineStr">
        <is>
          <t>Other current liabilities</t>
        </is>
      </c>
      <c r="B50" s="17" t="n">
        <v>33.94</v>
      </c>
      <c r="C50" s="17" t="n">
        <v>54.5</v>
      </c>
      <c r="D50" s="17" t="n">
        <v>65.15000000000001</v>
      </c>
      <c r="E50" s="17" t="n">
        <v>84.68000000000001</v>
      </c>
      <c r="F50" s="17" t="n">
        <v>118.01</v>
      </c>
      <c r="G50" s="17" t="n">
        <v>162.53</v>
      </c>
      <c r="H50" s="17" t="n">
        <v>173.56</v>
      </c>
    </row>
    <row r="51">
      <c r="A51" s="5" t="inlineStr">
        <is>
          <t>Provisions</t>
        </is>
      </c>
      <c r="B51" s="17" t="n">
        <v>7.69</v>
      </c>
      <c r="C51" s="17" t="n">
        <v>39.43</v>
      </c>
      <c r="D51" s="17" t="n">
        <v>41.68</v>
      </c>
      <c r="E51" s="17" t="n">
        <v>48.37</v>
      </c>
      <c r="F51" s="17" t="n">
        <v>61.15</v>
      </c>
      <c r="G51" s="17" t="n">
        <v>78.83</v>
      </c>
      <c r="H51" s="17" t="n">
        <v>81.43000000000001</v>
      </c>
    </row>
    <row r="52">
      <c r="A52" s="4" t="inlineStr">
        <is>
          <t>Total current liabilities</t>
        </is>
      </c>
      <c r="B52" s="18">
        <f>B46+B47+B48+B49+B50+B51</f>
        <v/>
      </c>
      <c r="C52" s="18">
        <f>C46+C47+C48+C49+C50+C51</f>
        <v/>
      </c>
      <c r="D52" s="18">
        <f>D46+D47+D48+D49+D50+D51</f>
        <v/>
      </c>
      <c r="E52" s="18">
        <f>E46+E47+E48+E49+E50+E51</f>
        <v/>
      </c>
      <c r="F52" s="18">
        <f>F46+F47+F48+F49+F50+F51</f>
        <v/>
      </c>
      <c r="G52" s="18">
        <f>G46+G47+G48+G49+G50+G51</f>
        <v/>
      </c>
      <c r="H52" s="18">
        <f>H46+H47+H48+H49+H50+H51</f>
        <v/>
      </c>
    </row>
    <row r="53">
      <c r="A53" s="4" t="inlineStr">
        <is>
          <t>Total liabilities</t>
        </is>
      </c>
      <c r="B53" s="18">
        <f>B44+B52</f>
        <v/>
      </c>
      <c r="C53" s="18">
        <f>C44+C52</f>
        <v/>
      </c>
      <c r="D53" s="18">
        <f>D44+D52</f>
        <v/>
      </c>
      <c r="E53" s="18">
        <f>E44+E52</f>
        <v/>
      </c>
      <c r="F53" s="18">
        <f>F44+F52</f>
        <v/>
      </c>
      <c r="G53" s="18">
        <f>G44+G52</f>
        <v/>
      </c>
      <c r="H53" s="18">
        <f>H44+H52</f>
        <v/>
      </c>
    </row>
    <row r="54">
      <c r="A54" s="22" t="inlineStr">
        <is>
          <t>TOTAL EQUITY &amp; LIABILITIES</t>
        </is>
      </c>
      <c r="B54" s="23">
        <f>B36+B53</f>
        <v/>
      </c>
      <c r="C54" s="23">
        <f>C36+C53</f>
        <v/>
      </c>
      <c r="D54" s="23">
        <f>D36+D53</f>
        <v/>
      </c>
      <c r="E54" s="23">
        <f>E36+E53</f>
        <v/>
      </c>
      <c r="F54" s="23">
        <f>F36+F53</f>
        <v/>
      </c>
      <c r="G54" s="23">
        <f>G36+G53</f>
        <v/>
      </c>
      <c r="H54" s="23">
        <f>H36+H53</f>
        <v/>
      </c>
    </row>
    <row r="55">
      <c r="A55" s="5" t="inlineStr">
        <is>
          <t>Balance check (Assets - E&amp;L)</t>
        </is>
      </c>
      <c r="B55" s="26">
        <f>B32-B54</f>
        <v/>
      </c>
      <c r="C55" s="26">
        <f>C32-C54</f>
        <v/>
      </c>
      <c r="D55" s="26">
        <f>D32-D54</f>
        <v/>
      </c>
      <c r="E55" s="26">
        <f>E32-E54</f>
        <v/>
      </c>
      <c r="F55" s="26">
        <f>F32-F54</f>
        <v/>
      </c>
      <c r="G55" s="26">
        <f>G32-G54</f>
        <v/>
      </c>
      <c r="H55" s="26">
        <f>H32-H54</f>
        <v/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4.  HISTORICAL CONSOLIDATED CASH FLOW STATEMENT  (FY20A-FY26A)</t>
        </is>
      </c>
    </row>
    <row r="3">
      <c r="A3" s="15" t="inlineStr">
        <is>
          <t>Source: Consolidated Cash Flow Statement, Annual Reports FY21-FY26 (INR lakh -&gt; Crore). Summary presentation.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4" t="inlineStr">
        <is>
          <t>Net cash from operating activities</t>
        </is>
      </c>
      <c r="B5" s="27" t="n">
        <v>77.09</v>
      </c>
      <c r="C5" s="27" t="n">
        <v>117.86</v>
      </c>
      <c r="D5" s="27" t="n">
        <v>740.52</v>
      </c>
      <c r="E5" s="27" t="n">
        <v>1209.18</v>
      </c>
      <c r="F5" s="27" t="n">
        <v>1121.67</v>
      </c>
      <c r="G5" s="27" t="n">
        <v>1437.96</v>
      </c>
      <c r="H5" s="27" t="n">
        <v>1633.32</v>
      </c>
    </row>
    <row r="6">
      <c r="A6" s="5" t="inlineStr">
        <is>
          <t xml:space="preserve">   of which: Capex (PP&amp;E, intangibles, CWIP)</t>
        </is>
      </c>
      <c r="B6" s="17" t="n">
        <v>-90.09</v>
      </c>
      <c r="C6" s="17" t="n">
        <v>-118.42</v>
      </c>
      <c r="D6" s="17" t="n">
        <v>-553.34</v>
      </c>
      <c r="E6" s="17" t="n">
        <v>-335.61</v>
      </c>
      <c r="F6" s="17" t="n">
        <v>-785.95</v>
      </c>
      <c r="G6" s="17" t="n">
        <v>-944.48</v>
      </c>
      <c r="H6" s="17" t="n">
        <v>-1484.53</v>
      </c>
    </row>
    <row r="7">
      <c r="A7" s="4" t="inlineStr">
        <is>
          <t>Net cash used in investing activities</t>
        </is>
      </c>
      <c r="B7" s="27" t="n">
        <v>-2640.7</v>
      </c>
      <c r="C7" s="27" t="n">
        <v>-73</v>
      </c>
      <c r="D7" s="27" t="n">
        <v>-763.8</v>
      </c>
      <c r="E7" s="27" t="n">
        <v>-1187.01</v>
      </c>
      <c r="F7" s="27" t="n">
        <v>-1285.45</v>
      </c>
      <c r="G7" s="27" t="n">
        <v>-1610.69</v>
      </c>
      <c r="H7" s="27" t="n">
        <v>-1688.99</v>
      </c>
    </row>
    <row r="8">
      <c r="A8" s="5" t="inlineStr">
        <is>
          <t xml:space="preserve">   of which: Dividends paid</t>
        </is>
      </c>
      <c r="B8" s="17" t="n">
        <v>-0</v>
      </c>
      <c r="C8" s="17" t="n">
        <v>-0</v>
      </c>
      <c r="D8" s="17" t="n">
        <v>-0</v>
      </c>
      <c r="E8" s="17" t="n">
        <v>-0</v>
      </c>
      <c r="F8" s="17" t="n">
        <v>-97.01000000000001</v>
      </c>
      <c r="G8" s="17" t="n">
        <v>-145.58</v>
      </c>
      <c r="H8" s="17" t="n">
        <v>-145.62</v>
      </c>
    </row>
    <row r="9">
      <c r="A9" s="4" t="inlineStr">
        <is>
          <t>Net cash from/(used in) financing activities</t>
        </is>
      </c>
      <c r="B9" s="27" t="n">
        <v>2353.12</v>
      </c>
      <c r="C9" s="27" t="n">
        <v>191.33</v>
      </c>
      <c r="D9" s="27" t="n">
        <v>-294.17</v>
      </c>
      <c r="E9" s="27" t="n">
        <v>-288.56</v>
      </c>
      <c r="F9" s="27" t="n">
        <v>-263.74</v>
      </c>
      <c r="G9" s="27" t="n">
        <v>-163.16</v>
      </c>
      <c r="H9" s="27" t="n">
        <v>59.27</v>
      </c>
    </row>
    <row r="10">
      <c r="A10" s="4" t="inlineStr">
        <is>
          <t>Net increase/(decrease) in cash</t>
        </is>
      </c>
      <c r="B10" s="18">
        <f>B5+B7+B9</f>
        <v/>
      </c>
      <c r="C10" s="18">
        <f>C5+C7+C9</f>
        <v/>
      </c>
      <c r="D10" s="18">
        <f>D5+D7+D9</f>
        <v/>
      </c>
      <c r="E10" s="18">
        <f>E5+E7+E9</f>
        <v/>
      </c>
      <c r="F10" s="18">
        <f>F5+F7+F9</f>
        <v/>
      </c>
      <c r="G10" s="18">
        <f>G5+G7+G9</f>
        <v/>
      </c>
      <c r="H10" s="18">
        <f>H5+H7+H9</f>
        <v/>
      </c>
    </row>
    <row r="11">
      <c r="A11" s="5" t="inlineStr">
        <is>
          <t>Opening cash &amp; cash equivalents</t>
        </is>
      </c>
      <c r="B11" s="17" t="n">
        <v>321.5</v>
      </c>
      <c r="C11" s="17" t="n">
        <v>111.01</v>
      </c>
      <c r="D11" s="17" t="n">
        <v>626.59</v>
      </c>
      <c r="E11" s="17" t="n">
        <v>309.14</v>
      </c>
      <c r="F11" s="17" t="n">
        <v>42.75</v>
      </c>
      <c r="G11" s="17" t="n">
        <v>979.84</v>
      </c>
      <c r="H11" s="17" t="n">
        <v>661.58</v>
      </c>
    </row>
    <row r="12">
      <c r="A12" s="4" t="inlineStr">
        <is>
          <t>Closing cash &amp; cash equivalents</t>
        </is>
      </c>
      <c r="B12" s="18">
        <f>B11+B10</f>
        <v/>
      </c>
      <c r="C12" s="18">
        <f>C11+C10</f>
        <v/>
      </c>
      <c r="D12" s="18">
        <f>D11+D10</f>
        <v/>
      </c>
      <c r="E12" s="18">
        <f>E11+E10</f>
        <v/>
      </c>
      <c r="F12" s="18">
        <f>F11+F10</f>
        <v/>
      </c>
      <c r="G12" s="18">
        <f>G11+G10</f>
        <v/>
      </c>
      <c r="H12" s="18">
        <f>H11+H10</f>
        <v/>
      </c>
    </row>
    <row r="13">
      <c r="A13" s="5" t="inlineStr">
        <is>
          <t xml:space="preserve">   Closing cash per Balance Sheet</t>
        </is>
      </c>
      <c r="B13" s="12">
        <f>'Historical BS'!B25</f>
        <v/>
      </c>
      <c r="C13" s="12">
        <f>'Historical BS'!C25</f>
        <v/>
      </c>
      <c r="D13" s="12">
        <f>'Historical BS'!D25</f>
        <v/>
      </c>
      <c r="E13" s="12">
        <f>'Historical BS'!E25</f>
        <v/>
      </c>
      <c r="F13" s="12">
        <f>'Historical BS'!F25</f>
        <v/>
      </c>
      <c r="G13" s="12">
        <f>'Historical BS'!G25</f>
        <v/>
      </c>
      <c r="H13" s="12">
        <f>'Historical BS'!H25</f>
        <v/>
      </c>
    </row>
    <row r="15">
      <c r="A15" s="28" t="inlineStr">
        <is>
          <t>Note: Opening cash FY20 and small acquisition/FX reconciling items (e.g. cash acquired on business combination, FX) cause minor differences vs reported closing; see AR for full reconciliation.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30" customWidth="1" min="4" max="4"/>
    <col width="44" customWidth="1" min="5" max="5"/>
    <col width="40" customWidth="1" min="6" max="6"/>
    <col width="8" customWidth="1" min="7" max="7"/>
  </cols>
  <sheetData>
    <row r="1">
      <c r="A1" s="29" t="inlineStr">
        <is>
          <t>5.  HISTORICAL NOTES TO ACCOUNTS  -  items relevant to the model / investment thesis</t>
        </is>
      </c>
    </row>
    <row r="3">
      <c r="A3" s="30" t="inlineStr">
        <is>
          <t>FY / AR</t>
        </is>
      </c>
      <c r="B3" s="30" t="inlineStr">
        <is>
          <t>Note ref.</t>
        </is>
      </c>
      <c r="C3" s="30" t="inlineStr">
        <is>
          <t>Item</t>
        </is>
      </c>
      <c r="D3" s="30" t="inlineStr">
        <is>
          <t>Reported information (summary)</t>
        </is>
      </c>
      <c r="E3" s="30" t="inlineStr">
        <is>
          <t>Model relevance</t>
        </is>
      </c>
      <c r="F3" s="30" t="inlineStr">
        <is>
          <t>Source basis</t>
        </is>
      </c>
      <c r="G3" s="30" t="inlineStr">
        <is>
          <t>Pg</t>
        </is>
      </c>
    </row>
    <row r="4" ht="42" customHeight="1">
      <c r="A4" s="31" t="inlineStr">
        <is>
          <t>FY26</t>
        </is>
      </c>
      <c r="B4" s="31" t="inlineStr">
        <is>
          <t>Note 3.2(a)</t>
        </is>
      </c>
      <c r="C4" s="31" t="inlineStr">
        <is>
          <t>PPE &amp; useful lives</t>
        </is>
      </c>
      <c r="D4" s="31" t="inlineStr">
        <is>
          <t>SLM depreciation per Sch II; buildings 3-60y, medical equip 2-18y, plant 2-21y, computers 2-6y</t>
        </is>
      </c>
      <c r="E4" s="31" t="inlineStr">
        <is>
          <t>Basis for PPE depreciation rate (~8% of opening net block) in PPE &amp; Depreciation schedule</t>
        </is>
      </c>
      <c r="F4" s="31" t="inlineStr">
        <is>
          <t>Annual Report FY26 / Sig. acct policies</t>
        </is>
      </c>
      <c r="G4" s="31" t="inlineStr">
        <is>
          <t>507</t>
        </is>
      </c>
    </row>
    <row r="5" ht="42" customHeight="1">
      <c r="A5" s="31" t="inlineStr">
        <is>
          <t>FY26</t>
        </is>
      </c>
      <c r="B5" s="31" t="inlineStr">
        <is>
          <t>Note 27</t>
        </is>
      </c>
      <c r="C5" s="31" t="inlineStr">
        <is>
          <t>Revenue from operations</t>
        </is>
      </c>
      <c r="D5" s="31" t="inlineStr">
        <is>
          <t>Rs 8,373 Cr; healthcare services (IPD/OPD), Max Lab, Max@Home, trading (pharmacy/onco drugs)</t>
        </is>
      </c>
      <c r="E5" s="31" t="inlineStr">
        <is>
          <t>Revenue build split hospital vs Max Lab vs Max@Home vs other</t>
        </is>
      </c>
      <c r="F5" s="31" t="inlineStr">
        <is>
          <t>Annual Report FY26</t>
        </is>
      </c>
      <c r="G5" s="31" t="inlineStr">
        <is>
          <t>501</t>
        </is>
      </c>
    </row>
    <row r="6" ht="42" customHeight="1">
      <c r="A6" s="31" t="inlineStr">
        <is>
          <t>FY26</t>
        </is>
      </c>
      <c r="B6" s="31" t="inlineStr">
        <is>
          <t>Note 4/5/6</t>
        </is>
      </c>
      <c r="C6" s="31" t="inlineStr">
        <is>
          <t>PPE / ROU / CWIP</t>
        </is>
      </c>
      <c r="D6" s="31" t="inlineStr">
        <is>
          <t>PPE Rs 5,628 Cr, ROU Rs 1,352 Cr, CWIP Rs 592 Cr</t>
        </is>
      </c>
      <c r="E6" s="31" t="inlineStr">
        <is>
          <t>Opening balances for PPE &amp; lease schedules</t>
        </is>
      </c>
      <c r="F6" s="31" t="inlineStr">
        <is>
          <t>Annual Report FY26 BS</t>
        </is>
      </c>
      <c r="G6" s="31" t="inlineStr">
        <is>
          <t>500</t>
        </is>
      </c>
    </row>
    <row r="7" ht="42" customHeight="1">
      <c r="A7" s="31" t="inlineStr">
        <is>
          <t>FY26</t>
        </is>
      </c>
      <c r="B7" s="31" t="inlineStr">
        <is>
          <t>Note 21</t>
        </is>
      </c>
      <c r="C7" s="31" t="inlineStr">
        <is>
          <t>Borrowings</t>
        </is>
      </c>
      <c r="D7" s="31" t="inlineStr">
        <is>
          <t>Gross debt Rs 2,907 Cr (NC 2,439 + current 468); term loans for expansion (Gurgaon, Mohali, Mumbai)</t>
        </is>
      </c>
      <c r="E7" s="31" t="inlineStr">
        <is>
          <t>Debt schedule opening balance; interest cost ~7%</t>
        </is>
      </c>
      <c r="F7" s="31" t="inlineStr">
        <is>
          <t>Annual Report FY26 / MD&amp;A</t>
        </is>
      </c>
      <c r="G7" s="31" t="inlineStr">
        <is>
          <t>-</t>
        </is>
      </c>
    </row>
    <row r="8" ht="42" customHeight="1">
      <c r="A8" s="31" t="inlineStr">
        <is>
          <t>FY26</t>
        </is>
      </c>
      <c r="B8" s="31" t="inlineStr">
        <is>
          <t>Note 22</t>
        </is>
      </c>
      <c r="C8" s="31" t="inlineStr">
        <is>
          <t>Lease liabilities (Ind AS 116)</t>
        </is>
      </c>
      <c r="D8" s="31" t="inlineStr">
        <is>
          <t>Lease liab Rs 572 Cr (NC 539 + cur 32); interest on lease Rs 54 Cr</t>
        </is>
      </c>
      <c r="E8" s="31" t="inlineStr">
        <is>
          <t>Lease schedule; lease interest 8%; ROU depreciation</t>
        </is>
      </c>
      <c r="F8" s="31" t="inlineStr">
        <is>
          <t>Annual Report FY26</t>
        </is>
      </c>
      <c r="G8" s="31" t="inlineStr">
        <is>
          <t>-</t>
        </is>
      </c>
    </row>
    <row r="9" ht="42" customHeight="1">
      <c r="A9" s="31" t="inlineStr">
        <is>
          <t>FY26</t>
        </is>
      </c>
      <c r="B9" s="31" t="inlineStr">
        <is>
          <t>Note 16</t>
        </is>
      </c>
      <c r="C9" s="31" t="inlineStr">
        <is>
          <t>Deferred tax</t>
        </is>
      </c>
      <c r="D9" s="31" t="inlineStr">
        <is>
          <t>Net DTL Rs 688 Cr; one-time DTA gain Rs 141 Cr on subsidiary amalgamation (FY26)</t>
        </is>
      </c>
      <c r="E9" s="31" t="inlineStr">
        <is>
          <t>Explains low FY26 ETR (13.9%); normalised ETR ~24% used in forecast</t>
        </is>
      </c>
      <c r="F9" s="31" t="inlineStr">
        <is>
          <t>Annual Report FY26 / MD&amp;A</t>
        </is>
      </c>
      <c r="G9" s="31" t="inlineStr">
        <is>
          <t>-</t>
        </is>
      </c>
    </row>
    <row r="10" ht="42" customHeight="1">
      <c r="A10" s="31" t="inlineStr">
        <is>
          <t>FY26</t>
        </is>
      </c>
      <c r="B10" s="31" t="inlineStr">
        <is>
          <t>Note 32.01</t>
        </is>
      </c>
      <c r="C10" s="31" t="inlineStr">
        <is>
          <t>Exceptional items</t>
        </is>
      </c>
      <c r="D10" s="31" t="inlineStr">
        <is>
          <t>Rs 48 Cr: Rs 34 Cr new labour codes + Rs 14 Cr stamp duty on merger</t>
        </is>
      </c>
      <c r="E10" s="31" t="inlineStr">
        <is>
          <t>Excluded from forecast (one-off); kept in historical as reported</t>
        </is>
      </c>
      <c r="F10" s="31" t="inlineStr">
        <is>
          <t>Annual Report FY26</t>
        </is>
      </c>
      <c r="G10" s="31" t="inlineStr">
        <is>
          <t>501</t>
        </is>
      </c>
    </row>
    <row r="11" ht="42" customHeight="1">
      <c r="A11" s="31" t="inlineStr">
        <is>
          <t>FY26</t>
        </is>
      </c>
      <c r="B11" s="31" t="inlineStr">
        <is>
          <t>Note 8</t>
        </is>
      </c>
      <c r="C11" s="31" t="inlineStr">
        <is>
          <t>Goodwill</t>
        </is>
      </c>
      <c r="D11" s="31" t="inlineStr">
        <is>
          <t>Rs 3,488 Cr; indefinite life, tested for impairment (not amortised)</t>
        </is>
      </c>
      <c r="E11" s="31" t="inlineStr">
        <is>
          <t>Held flat in forecast; not depreciated</t>
        </is>
      </c>
      <c r="F11" s="31" t="inlineStr">
        <is>
          <t>Annual Report FY26</t>
        </is>
      </c>
      <c r="G11" s="31" t="inlineStr">
        <is>
          <t>-</t>
        </is>
      </c>
    </row>
    <row r="12" ht="42" customHeight="1">
      <c r="A12" s="31" t="inlineStr">
        <is>
          <t>FY26</t>
        </is>
      </c>
      <c r="B12" s="31" t="inlineStr">
        <is>
          <t>Note 34.18</t>
        </is>
      </c>
      <c r="C12" s="31" t="inlineStr">
        <is>
          <t>Business combinations</t>
        </is>
      </c>
      <c r="D12" s="31" t="inlineStr">
        <is>
          <t>Jaypee Healthcare (Q3FY25), Sahara/Alexis, Muthoot (Max Dwarka O&amp;M 30y from Jun-24)</t>
        </is>
      </c>
      <c r="E12" s="31" t="inlineStr">
        <is>
          <t>Explains bed additions &amp; goodwill step-ups FY24-FY26; Kalinga (FY27) similar</t>
        </is>
      </c>
      <c r="F12" s="31" t="inlineStr">
        <is>
          <t>Annual Report FY26 / FY25</t>
        </is>
      </c>
      <c r="G12" s="31" t="inlineStr">
        <is>
          <t>-</t>
        </is>
      </c>
    </row>
    <row r="13" ht="42" customHeight="1">
      <c r="A13" s="31" t="inlineStr">
        <is>
          <t>FY21</t>
        </is>
      </c>
      <c r="B13" s="31" t="inlineStr">
        <is>
          <t>Note 2.1</t>
        </is>
      </c>
      <c r="C13" s="31" t="inlineStr">
        <is>
          <t>Reverse acquisition (Ind AS 103)</t>
        </is>
      </c>
      <c r="D13" s="31" t="inlineStr">
        <is>
          <t>Radiant = accounting acquirer; FY20 = Radiant only; exceptional loss Rs 234 Cr on remeasurement</t>
        </is>
      </c>
      <c r="E13" s="31" t="inlineStr">
        <is>
          <t>FY20-21 not comparable; base year is FY26A</t>
        </is>
      </c>
      <c r="F13" s="31" t="inlineStr">
        <is>
          <t>Annual Report FY21</t>
        </is>
      </c>
      <c r="G13" s="31" t="inlineStr">
        <is>
          <t>226-229</t>
        </is>
      </c>
    </row>
    <row r="14" ht="42" customHeight="1">
      <c r="A14" s="31" t="inlineStr">
        <is>
          <t>FY26</t>
        </is>
      </c>
      <c r="B14" s="31" t="inlineStr">
        <is>
          <t>O&amp;M / Silos</t>
        </is>
      </c>
      <c r="C14" s="31" t="inlineStr">
        <is>
          <t>Managed facilities (PHFs)</t>
        </is>
      </c>
      <c r="D14" s="31" t="inlineStr">
        <is>
          <t>BLK, Nanavati, Max Dwarka run under long-term O&amp;M / service agreements; consolidated as 'Silos'</t>
        </is>
      </c>
      <c r="E14" s="31" t="inlineStr">
        <is>
          <t>'Network' KPIs (ARPOB, beds) gross up PHFs; consolidated revenue is lower</t>
        </is>
      </c>
      <c r="F14" s="31" t="inlineStr">
        <is>
          <t>Annual Report FY26 Note 3.1</t>
        </is>
      </c>
      <c r="G14" s="31" t="inlineStr">
        <is>
          <t>506</t>
        </is>
      </c>
    </row>
    <row r="15" ht="42" customHeight="1">
      <c r="A15" s="31" t="inlineStr">
        <is>
          <t>FY25</t>
        </is>
      </c>
      <c r="B15" s="31" t="inlineStr">
        <is>
          <t>MD&amp;A</t>
        </is>
      </c>
      <c r="C15" s="31" t="inlineStr">
        <is>
          <t>Payor &amp; case mix</t>
        </is>
      </c>
      <c r="D15" s="31" t="inlineStr">
        <is>
          <t>Institutional/PSU 19.4% of rev (low margin); International 8.8%; oncology onco-drug discounting</t>
        </is>
      </c>
      <c r="E15" s="31" t="inlineStr">
        <is>
          <t>Direct-cost % and ARPOB assumptions; margin normalisation thesis</t>
        </is>
      </c>
      <c r="F15" s="31" t="inlineStr">
        <is>
          <t>Annual Report FY25 / Concall</t>
        </is>
      </c>
      <c r="G15" s="31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6.  HISTORICAL OPERATING KPIs  (FY20A-FY26A)</t>
        </is>
      </c>
    </row>
    <row r="3">
      <c r="A3" s="15" t="inlineStr">
        <is>
          <t>Source: Annual Report MD&amp;A operational metrics, earnings calls, CARE rating report. [B]=reported, [C]=calculated. Network/mgmt basis.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19" t="inlineStr">
        <is>
          <t>Hospital operations (network / management-reported)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A6" s="5" t="inlineStr">
        <is>
          <t>Operational beds (period-end) [B]</t>
        </is>
      </c>
      <c r="D6" s="17" t="n">
        <v>2275</v>
      </c>
      <c r="E6" s="17" t="n">
        <v>2285</v>
      </c>
      <c r="F6" s="17" t="n">
        <v>2451</v>
      </c>
      <c r="G6" s="17" t="n">
        <v>3454</v>
      </c>
      <c r="H6" s="17" t="n">
        <v>3841</v>
      </c>
    </row>
    <row r="7">
      <c r="A7" s="5" t="inlineStr">
        <is>
          <t>Occupied beds (average) [B]</t>
        </is>
      </c>
      <c r="D7" s="17" t="n">
        <v>1722</v>
      </c>
      <c r="E7" s="17" t="n">
        <v>1708</v>
      </c>
      <c r="F7" s="17" t="n">
        <v>1785</v>
      </c>
      <c r="G7" s="17" t="n">
        <v>2518</v>
      </c>
      <c r="H7" s="17" t="n">
        <v>2868</v>
      </c>
    </row>
    <row r="8">
      <c r="A8" s="5" t="inlineStr">
        <is>
          <t>Occupancy % [B]</t>
        </is>
      </c>
      <c r="D8" s="32" t="n">
        <v>0.757</v>
      </c>
      <c r="E8" s="32" t="n">
        <v>0.734</v>
      </c>
      <c r="F8" s="32" t="n">
        <v>0.728</v>
      </c>
      <c r="G8" s="32" t="n">
        <v>0.729</v>
      </c>
      <c r="H8" s="32" t="n">
        <v>0.747</v>
      </c>
    </row>
    <row r="9">
      <c r="A9" s="5" t="inlineStr">
        <is>
          <t>ARPOB (Rs 000/occ bed/day) [B]</t>
        </is>
      </c>
      <c r="D9" s="33" t="n">
        <v>58</v>
      </c>
      <c r="E9" s="33" t="n">
        <v>69</v>
      </c>
      <c r="F9" s="33" t="n">
        <v>75.8</v>
      </c>
      <c r="G9" s="33" t="n">
        <v>73.90000000000001</v>
      </c>
      <c r="H9" s="33" t="n">
        <v>76</v>
      </c>
    </row>
    <row r="10">
      <c r="A10" s="5" t="inlineStr">
        <is>
          <t>Average length of stay (days) [B]</t>
        </is>
      </c>
      <c r="D10" s="33" t="n">
        <v>4.6</v>
      </c>
      <c r="E10" s="33" t="n">
        <v>4.2</v>
      </c>
      <c r="F10" s="33" t="n">
        <v>4.1</v>
      </c>
      <c r="G10" s="33" t="n">
        <v>3.9</v>
      </c>
      <c r="H10" s="33" t="n">
        <v>4</v>
      </c>
    </row>
    <row r="11">
      <c r="A11" s="19" t="inlineStr">
        <is>
          <t>Segment revenue (Rs Cr) [B]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>
      <c r="A12" s="5" t="inlineStr">
        <is>
          <t>Max Lab revenue</t>
        </is>
      </c>
      <c r="F12" s="17" t="n">
        <v>144</v>
      </c>
      <c r="G12" s="17" t="n">
        <v>175</v>
      </c>
      <c r="H12" s="17" t="n">
        <v>201</v>
      </c>
    </row>
    <row r="13">
      <c r="A13" s="5" t="inlineStr">
        <is>
          <t>Max@Home revenue</t>
        </is>
      </c>
      <c r="F13" s="17" t="n">
        <v>172</v>
      </c>
      <c r="G13" s="17" t="n">
        <v>212</v>
      </c>
      <c r="H13" s="17" t="n">
        <v>263</v>
      </c>
    </row>
    <row r="14">
      <c r="A14" s="19" t="inlineStr">
        <is>
          <t>Financial KPIs [C] (linked to Historical P&amp;L / BS)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>
      <c r="A15" s="5" t="inlineStr">
        <is>
          <t>Revenue (Rs Cr)</t>
        </is>
      </c>
      <c r="B15" s="12">
        <f>'Historical P&amp;L'!B5</f>
        <v/>
      </c>
      <c r="C15" s="12">
        <f>'Historical P&amp;L'!C5</f>
        <v/>
      </c>
      <c r="D15" s="12">
        <f>'Historical P&amp;L'!D5</f>
        <v/>
      </c>
      <c r="E15" s="12">
        <f>'Historical P&amp;L'!E5</f>
        <v/>
      </c>
      <c r="F15" s="12">
        <f>'Historical P&amp;L'!F5</f>
        <v/>
      </c>
      <c r="G15" s="12">
        <f>'Historical P&amp;L'!G5</f>
        <v/>
      </c>
      <c r="H15" s="12">
        <f>'Historical P&amp;L'!H5</f>
        <v/>
      </c>
    </row>
    <row r="16">
      <c r="A16" s="5" t="inlineStr">
        <is>
          <t>Revenue growth %</t>
        </is>
      </c>
      <c r="C16" s="9">
        <f>'Historical P&amp;L'!C5/'Historical P&amp;L'!B5-1</f>
        <v/>
      </c>
      <c r="D16" s="9">
        <f>'Historical P&amp;L'!D5/'Historical P&amp;L'!C5-1</f>
        <v/>
      </c>
      <c r="E16" s="9">
        <f>'Historical P&amp;L'!E5/'Historical P&amp;L'!D5-1</f>
        <v/>
      </c>
      <c r="F16" s="9">
        <f>'Historical P&amp;L'!F5/'Historical P&amp;L'!E5-1</f>
        <v/>
      </c>
      <c r="G16" s="9">
        <f>'Historical P&amp;L'!G5/'Historical P&amp;L'!F5-1</f>
        <v/>
      </c>
      <c r="H16" s="9">
        <f>'Historical P&amp;L'!H5/'Historical P&amp;L'!G5-1</f>
        <v/>
      </c>
    </row>
    <row r="17">
      <c r="A17" s="5" t="inlineStr">
        <is>
          <t>EBITDA (Rs Cr)</t>
        </is>
      </c>
      <c r="B17" s="12">
        <f>'Historical P&amp;L'!B28</f>
        <v/>
      </c>
      <c r="C17" s="12">
        <f>'Historical P&amp;L'!C28</f>
        <v/>
      </c>
      <c r="D17" s="12">
        <f>'Historical P&amp;L'!D28</f>
        <v/>
      </c>
      <c r="E17" s="12">
        <f>'Historical P&amp;L'!E28</f>
        <v/>
      </c>
      <c r="F17" s="12">
        <f>'Historical P&amp;L'!F28</f>
        <v/>
      </c>
      <c r="G17" s="12">
        <f>'Historical P&amp;L'!G28</f>
        <v/>
      </c>
      <c r="H17" s="12">
        <f>'Historical P&amp;L'!H28</f>
        <v/>
      </c>
    </row>
    <row r="18">
      <c r="A18" s="5" t="inlineStr">
        <is>
          <t>EBITDA margin %</t>
        </is>
      </c>
      <c r="B18" s="9">
        <f>'Historical P&amp;L'!B28/'Historical P&amp;L'!B5</f>
        <v/>
      </c>
      <c r="C18" s="9">
        <f>'Historical P&amp;L'!C28/'Historical P&amp;L'!C5</f>
        <v/>
      </c>
      <c r="D18" s="9">
        <f>'Historical P&amp;L'!D28/'Historical P&amp;L'!D5</f>
        <v/>
      </c>
      <c r="E18" s="9">
        <f>'Historical P&amp;L'!E28/'Historical P&amp;L'!E5</f>
        <v/>
      </c>
      <c r="F18" s="9">
        <f>'Historical P&amp;L'!F28/'Historical P&amp;L'!F5</f>
        <v/>
      </c>
      <c r="G18" s="9">
        <f>'Historical P&amp;L'!G28/'Historical P&amp;L'!G5</f>
        <v/>
      </c>
      <c r="H18" s="9">
        <f>'Historical P&amp;L'!H28/'Historical P&amp;L'!H5</f>
        <v/>
      </c>
    </row>
    <row r="19">
      <c r="A19" s="5" t="inlineStr">
        <is>
          <t>PAT margin %</t>
        </is>
      </c>
      <c r="B19" s="9">
        <f>'Historical P&amp;L'!B23/'Historical P&amp;L'!B5</f>
        <v/>
      </c>
      <c r="C19" s="9">
        <f>'Historical P&amp;L'!C23/'Historical P&amp;L'!C5</f>
        <v/>
      </c>
      <c r="D19" s="9">
        <f>'Historical P&amp;L'!D23/'Historical P&amp;L'!D5</f>
        <v/>
      </c>
      <c r="E19" s="9">
        <f>'Historical P&amp;L'!E23/'Historical P&amp;L'!E5</f>
        <v/>
      </c>
      <c r="F19" s="9">
        <f>'Historical P&amp;L'!F23/'Historical P&amp;L'!F5</f>
        <v/>
      </c>
      <c r="G19" s="9">
        <f>'Historical P&amp;L'!G23/'Historical P&amp;L'!G5</f>
        <v/>
      </c>
      <c r="H19" s="9">
        <f>'Historical P&amp;L'!H23/'Historical P&amp;L'!H5</f>
        <v/>
      </c>
    </row>
    <row r="20">
      <c r="A20" s="5" t="inlineStr">
        <is>
          <t>Net debt (Rs Cr)</t>
        </is>
      </c>
      <c r="B20" s="12">
        <f>'Historical BS'!B38+'Historical BS'!B46-'Historical BS'!B25-'Historical BS'!B26</f>
        <v/>
      </c>
      <c r="C20" s="12">
        <f>'Historical BS'!C38+'Historical BS'!C46-'Historical BS'!C25-'Historical BS'!C26</f>
        <v/>
      </c>
      <c r="D20" s="12">
        <f>'Historical BS'!D38+'Historical BS'!D46-'Historical BS'!D25-'Historical BS'!D26</f>
        <v/>
      </c>
      <c r="E20" s="12">
        <f>'Historical BS'!E38+'Historical BS'!E46-'Historical BS'!E25-'Historical BS'!E26</f>
        <v/>
      </c>
      <c r="F20" s="12">
        <f>'Historical BS'!F38+'Historical BS'!F46-'Historical BS'!F25-'Historical BS'!F26</f>
        <v/>
      </c>
      <c r="G20" s="12">
        <f>'Historical BS'!G38+'Historical BS'!G46-'Historical BS'!G25-'Historical BS'!G26</f>
        <v/>
      </c>
      <c r="H20" s="12">
        <f>'Historical BS'!H38+'Historical BS'!H46-'Historical BS'!H25-'Historical BS'!H26</f>
        <v/>
      </c>
    </row>
    <row r="21">
      <c r="A21" s="5" t="inlineStr">
        <is>
          <t>Net debt / EBITDA (x)</t>
        </is>
      </c>
      <c r="B21" s="34">
        <f>B20/'Historical P&amp;L'!B28</f>
        <v/>
      </c>
      <c r="C21" s="34">
        <f>C20/'Historical P&amp;L'!C28</f>
        <v/>
      </c>
      <c r="D21" s="34">
        <f>D20/'Historical P&amp;L'!D28</f>
        <v/>
      </c>
      <c r="E21" s="34">
        <f>E20/'Historical P&amp;L'!E28</f>
        <v/>
      </c>
      <c r="F21" s="34">
        <f>F20/'Historical P&amp;L'!F28</f>
        <v/>
      </c>
      <c r="G21" s="34">
        <f>G20/'Historical P&amp;L'!G28</f>
        <v/>
      </c>
      <c r="H21" s="34">
        <f>H20/'Historical P&amp;L'!H28</f>
        <v/>
      </c>
    </row>
    <row r="22">
      <c r="A22" s="5" t="inlineStr">
        <is>
          <t>ROCE % (EBIT/(equity+debt))</t>
        </is>
      </c>
      <c r="B22" s="9">
        <f>('Historical P&amp;L'!B30-'Historical P&amp;L'!B15)/('Historical BS'!B36+'Historical BS'!B38+'Historical BS'!B46)</f>
        <v/>
      </c>
      <c r="C22" s="9">
        <f>('Historical P&amp;L'!C30-'Historical P&amp;L'!C15)/('Historical BS'!C36+'Historical BS'!C38+'Historical BS'!C46)</f>
        <v/>
      </c>
      <c r="D22" s="9">
        <f>('Historical P&amp;L'!D30-'Historical P&amp;L'!D15)/('Historical BS'!D36+'Historical BS'!D38+'Historical BS'!D46)</f>
        <v/>
      </c>
      <c r="E22" s="9">
        <f>('Historical P&amp;L'!E30-'Historical P&amp;L'!E15)/('Historical BS'!E36+'Historical BS'!E38+'Historical BS'!E46)</f>
        <v/>
      </c>
      <c r="F22" s="9">
        <f>('Historical P&amp;L'!F30-'Historical P&amp;L'!F15)/('Historical BS'!F36+'Historical BS'!F38+'Historical BS'!F46)</f>
        <v/>
      </c>
      <c r="G22" s="9">
        <f>('Historical P&amp;L'!G30-'Historical P&amp;L'!G15)/('Historical BS'!G36+'Historical BS'!G38+'Historical BS'!G46)</f>
        <v/>
      </c>
      <c r="H22" s="9">
        <f>('Historical P&amp;L'!H30-'Historical P&amp;L'!H15)/('Historical BS'!H36+'Historical BS'!H38+'Historical BS'!H46)</f>
        <v/>
      </c>
    </row>
    <row r="23">
      <c r="A23" s="5" t="inlineStr">
        <is>
          <t>ROE % (PAT/equity)</t>
        </is>
      </c>
      <c r="B23" s="9">
        <f>'Historical P&amp;L'!B23/'Historical BS'!B36</f>
        <v/>
      </c>
      <c r="C23" s="9">
        <f>'Historical P&amp;L'!C23/'Historical BS'!C36</f>
        <v/>
      </c>
      <c r="D23" s="9">
        <f>'Historical P&amp;L'!D23/'Historical BS'!D36</f>
        <v/>
      </c>
      <c r="E23" s="9">
        <f>'Historical P&amp;L'!E23/'Historical BS'!E36</f>
        <v/>
      </c>
      <c r="F23" s="9">
        <f>'Historical P&amp;L'!F23/'Historical BS'!F36</f>
        <v/>
      </c>
      <c r="G23" s="9">
        <f>'Historical P&amp;L'!G23/'Historical BS'!G36</f>
        <v/>
      </c>
      <c r="H23" s="9">
        <f>'Historical P&amp;L'!H23/'Historical BS'!H36</f>
        <v/>
      </c>
    </row>
    <row r="24">
      <c r="A24" s="5" t="inlineStr">
        <is>
          <t>Capex (Rs Cr)</t>
        </is>
      </c>
      <c r="B24" s="12">
        <f>'Historical CF'!B6*-1</f>
        <v/>
      </c>
      <c r="C24" s="12">
        <f>'Historical CF'!C6*-1</f>
        <v/>
      </c>
      <c r="D24" s="12">
        <f>'Historical CF'!D6*-1</f>
        <v/>
      </c>
      <c r="E24" s="12">
        <f>'Historical CF'!E6*-1</f>
        <v/>
      </c>
      <c r="F24" s="12">
        <f>'Historical CF'!F6*-1</f>
        <v/>
      </c>
      <c r="G24" s="12">
        <f>'Historical CF'!G6*-1</f>
        <v/>
      </c>
      <c r="H24" s="12">
        <f>'Historical CF'!H6*-1</f>
        <v/>
      </c>
    </row>
    <row r="25">
      <c r="A25" s="5" t="inlineStr">
        <is>
          <t>Capex / Revenue %</t>
        </is>
      </c>
      <c r="B25" s="9">
        <f>B24/'Historical P&amp;L'!B5</f>
        <v/>
      </c>
      <c r="C25" s="9">
        <f>C24/'Historical P&amp;L'!C5</f>
        <v/>
      </c>
      <c r="D25" s="9">
        <f>D24/'Historical P&amp;L'!D5</f>
        <v/>
      </c>
      <c r="E25" s="9">
        <f>E24/'Historical P&amp;L'!E5</f>
        <v/>
      </c>
      <c r="F25" s="9">
        <f>F24/'Historical P&amp;L'!F5</f>
        <v/>
      </c>
      <c r="G25" s="9">
        <f>G24/'Historical P&amp;L'!G5</f>
        <v/>
      </c>
      <c r="H25" s="9">
        <f>H24/'Historical P&amp;L'!H5</f>
        <v/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34" customWidth="1" min="17" max="17"/>
    <col width="30" customWidth="1" min="18" max="18"/>
    <col width="50" customWidth="1" min="19" max="19"/>
  </cols>
  <sheetData>
    <row r="1" ht="22" customHeight="1">
      <c r="A1" s="14" t="inlineStr">
        <is>
          <t>7.  ASSUMPTIONS &amp; DRIVERS  (Base Case)</t>
        </is>
      </c>
    </row>
    <row r="3">
      <c r="A3" s="15" t="inlineStr">
        <is>
          <t>All blue cells are hardcoded inputs. Basis/Source/Justification at right (cols Q-S). Referenced by all forecast schedules.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  <c r="Q4" s="35" t="inlineStr">
        <is>
          <t>Basis</t>
        </is>
      </c>
      <c r="R4" s="35" t="inlineStr">
        <is>
          <t>Source</t>
        </is>
      </c>
      <c r="S4" s="35" t="inlineStr">
        <is>
          <t>Justification</t>
        </is>
      </c>
    </row>
    <row r="5">
      <c r="A5" s="19" t="inlineStr">
        <is>
          <t>Operating drivers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30" customHeight="1">
      <c r="A6" s="5" t="inlineStr">
        <is>
          <t>Organic bed additions (net)</t>
        </is>
      </c>
      <c r="I6" s="17" t="n">
        <v>609</v>
      </c>
      <c r="J6" s="17" t="n">
        <v>1200</v>
      </c>
      <c r="K6" s="17" t="n">
        <v>1100</v>
      </c>
      <c r="L6" s="17" t="n">
        <v>900</v>
      </c>
      <c r="M6" s="17" t="n">
        <v>600</v>
      </c>
      <c r="N6" s="17" t="n">
        <v>600</v>
      </c>
      <c r="O6" s="17" t="n">
        <v>600</v>
      </c>
      <c r="Q6" s="36" t="inlineStr">
        <is>
          <t>Disclosed expansion pipeline</t>
        </is>
      </c>
      <c r="R6" s="36" t="inlineStr">
        <is>
          <t>AR FY26 pipeline table; Q4FY26 concall</t>
        </is>
      </c>
      <c r="S6" s="36" t="inlineStr">
        <is>
          <t>Lucknow, Gurgaon Sec-56 (500), Mohali/Nanavati/Smart brownfield, Nagpur, Dwarka, Vaishali, Patparganj</t>
        </is>
      </c>
    </row>
    <row r="7" ht="30" customHeight="1">
      <c r="A7" s="5" t="inlineStr">
        <is>
          <t>Acquired beds</t>
        </is>
      </c>
      <c r="I7" s="17" t="n">
        <v>250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Q7" s="36" t="inlineStr">
        <is>
          <t>Announced M&amp;A</t>
        </is>
      </c>
      <c r="R7" s="36" t="inlineStr">
        <is>
          <t>Q4FY26 concall</t>
        </is>
      </c>
      <c r="S7" s="36" t="inlineStr">
        <is>
          <t>Kalinga Hospital, Bhubaneswar (250 beds) completed FY27</t>
        </is>
      </c>
    </row>
    <row r="8" ht="30" customHeight="1">
      <c r="A8" s="5" t="inlineStr">
        <is>
          <t>Blended occupancy % (avg beds)</t>
        </is>
      </c>
      <c r="I8" s="32" t="n">
        <v>0.735</v>
      </c>
      <c r="J8" s="32" t="n">
        <v>0.725</v>
      </c>
      <c r="K8" s="32" t="n">
        <v>0.73</v>
      </c>
      <c r="L8" s="32" t="n">
        <v>0.74</v>
      </c>
      <c r="M8" s="32" t="n">
        <v>0.745</v>
      </c>
      <c r="N8" s="32" t="n">
        <v>0.75</v>
      </c>
      <c r="O8" s="32" t="n">
        <v>0.75</v>
      </c>
      <c r="Q8" s="36" t="inlineStr">
        <is>
          <t>Historical 73-75% + ramp</t>
        </is>
      </c>
      <c r="R8" s="36" t="inlineStr">
        <is>
          <t>AR MD&amp;A; CARE report</t>
        </is>
      </c>
      <c r="S8" s="36" t="inlineStr">
        <is>
          <t>Dips as new towers commission then recovers to ~75%; mgmt: beds opened only with occupancy visibility</t>
        </is>
      </c>
    </row>
    <row r="9" ht="30" customHeight="1">
      <c r="A9" s="5" t="inlineStr">
        <is>
          <t>ARPOB growth % YoY</t>
        </is>
      </c>
      <c r="I9" s="32" t="n">
        <v>0.06</v>
      </c>
      <c r="J9" s="32" t="n">
        <v>0.06</v>
      </c>
      <c r="K9" s="32" t="n">
        <v>0.065</v>
      </c>
      <c r="L9" s="32" t="n">
        <v>0.07000000000000001</v>
      </c>
      <c r="M9" s="32" t="n">
        <v>0.07000000000000001</v>
      </c>
      <c r="N9" s="32" t="n">
        <v>0.07000000000000001</v>
      </c>
      <c r="O9" s="32" t="n">
        <v>0.07000000000000001</v>
      </c>
      <c r="Q9" s="36" t="inlineStr">
        <is>
          <t>Hist matured ARPOB +7% (CARE)</t>
        </is>
      </c>
      <c r="R9" s="36" t="inlineStr">
        <is>
          <t>CARE report; concall</t>
        </is>
      </c>
      <c r="S9" s="36" t="inlineStr">
        <is>
          <t>Price revisions, case-mix, international, oncology bunkers; net of new-bed dilution</t>
        </is>
      </c>
    </row>
    <row r="10" ht="30" customHeight="1">
      <c r="A10" s="5" t="inlineStr">
        <is>
          <t>Max Lab revenue growth %</t>
        </is>
      </c>
      <c r="I10" s="32" t="n">
        <v>0.15</v>
      </c>
      <c r="J10" s="32" t="n">
        <v>0.15</v>
      </c>
      <c r="K10" s="32" t="n">
        <v>0.14</v>
      </c>
      <c r="L10" s="32" t="n">
        <v>0.14</v>
      </c>
      <c r="M10" s="32" t="n">
        <v>0.13</v>
      </c>
      <c r="N10" s="32" t="n">
        <v>0.13</v>
      </c>
      <c r="O10" s="32" t="n">
        <v>0.12</v>
      </c>
      <c r="Q10" s="36" t="inlineStr">
        <is>
          <t>Hist +15-24%</t>
        </is>
      </c>
      <c r="R10" s="36" t="inlineStr">
        <is>
          <t>AR FY26 (Rs201Cr, +15%)</t>
        </is>
      </c>
      <c r="S10" s="36" t="inlineStr">
        <is>
          <t>Diagnostics expansion to 60+ cities; moderating growth</t>
        </is>
      </c>
    </row>
    <row r="11" ht="30" customHeight="1">
      <c r="A11" s="5" t="inlineStr">
        <is>
          <t>Max@Home revenue growth %</t>
        </is>
      </c>
      <c r="I11" s="32" t="n">
        <v>0.22</v>
      </c>
      <c r="J11" s="32" t="n">
        <v>0.2</v>
      </c>
      <c r="K11" s="32" t="n">
        <v>0.18</v>
      </c>
      <c r="L11" s="32" t="n">
        <v>0.17</v>
      </c>
      <c r="M11" s="32" t="n">
        <v>0.16</v>
      </c>
      <c r="N11" s="32" t="n">
        <v>0.15</v>
      </c>
      <c r="O11" s="32" t="n">
        <v>0.15</v>
      </c>
      <c r="Q11" s="36" t="inlineStr">
        <is>
          <t>Hist +24%</t>
        </is>
      </c>
      <c r="R11" s="36" t="inlineStr">
        <is>
          <t>AR FY26 (Rs263Cr, +24%)</t>
        </is>
      </c>
      <c r="S11" s="36" t="inlineStr">
        <is>
          <t>Home healthcare scale-up; moderating</t>
        </is>
      </c>
    </row>
    <row r="12" ht="30" customHeight="1">
      <c r="A12" s="5" t="inlineStr">
        <is>
          <t>Other operating revenue (Rs Cr)</t>
        </is>
      </c>
      <c r="I12" s="17" t="n">
        <v>50</v>
      </c>
      <c r="J12" s="17" t="n">
        <v>55</v>
      </c>
      <c r="K12" s="17" t="n">
        <v>60</v>
      </c>
      <c r="L12" s="17" t="n">
        <v>66</v>
      </c>
      <c r="M12" s="17" t="n">
        <v>72</v>
      </c>
      <c r="N12" s="17" t="n">
        <v>79</v>
      </c>
      <c r="O12" s="17" t="n">
        <v>87</v>
      </c>
      <c r="Q12" s="36" t="inlineStr">
        <is>
          <t>Small residual</t>
        </is>
      </c>
      <c r="R12" s="36" t="inlineStr">
        <is>
          <t>Analyst estimate</t>
        </is>
      </c>
      <c r="S12" s="36" t="inlineStr">
        <is>
          <t>Ancillary/other operating income</t>
        </is>
      </c>
    </row>
    <row r="13" ht="30" customHeight="1">
      <c r="A13" s="5" t="inlineStr">
        <is>
          <t>Other income % of revenue</t>
        </is>
      </c>
      <c r="I13" s="32" t="n">
        <v>0.018</v>
      </c>
      <c r="J13" s="32" t="n">
        <v>0.018</v>
      </c>
      <c r="K13" s="32" t="n">
        <v>0.018</v>
      </c>
      <c r="L13" s="32" t="n">
        <v>0.018</v>
      </c>
      <c r="M13" s="32" t="n">
        <v>0.018</v>
      </c>
      <c r="N13" s="32" t="n">
        <v>0.018</v>
      </c>
      <c r="O13" s="32" t="n">
        <v>0.018</v>
      </c>
      <c r="Q13" s="36" t="inlineStr">
        <is>
          <t>Hist ~1.9%</t>
        </is>
      </c>
      <c r="R13" s="36" t="inlineStr">
        <is>
          <t>AR FY26</t>
        </is>
      </c>
      <c r="S13" s="36" t="inlineStr">
        <is>
          <t>Finance income on loans to PHFs / deposits</t>
        </is>
      </c>
    </row>
    <row r="14">
      <c r="A14" s="19" t="inlineStr">
        <is>
          <t>Cost ratios (% of revenue)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30" customHeight="1">
      <c r="A15" s="5" t="inlineStr">
        <is>
          <t>Direct cost (drugs/consumables) %</t>
        </is>
      </c>
      <c r="I15" s="32" t="n">
        <v>0.215</v>
      </c>
      <c r="J15" s="32" t="n">
        <v>0.214</v>
      </c>
      <c r="K15" s="32" t="n">
        <v>0.213</v>
      </c>
      <c r="L15" s="32" t="n">
        <v>0.212</v>
      </c>
      <c r="M15" s="32" t="n">
        <v>0.211</v>
      </c>
      <c r="N15" s="32" t="n">
        <v>0.21</v>
      </c>
      <c r="O15" s="32" t="n">
        <v>0.21</v>
      </c>
      <c r="Q15" s="36" t="inlineStr">
        <is>
          <t>Hist 20.7-21.4%</t>
        </is>
      </c>
      <c r="R15" s="36" t="inlineStr">
        <is>
          <t>AR MD&amp;A</t>
        </is>
      </c>
      <c r="S15" s="36" t="inlineStr">
        <is>
          <t>Case mix / onco pass-through; eases as mix normalises</t>
        </is>
      </c>
    </row>
    <row r="16" ht="30" customHeight="1">
      <c r="A16" s="5" t="inlineStr">
        <is>
          <t>Employee cost %</t>
        </is>
      </c>
      <c r="I16" s="32" t="n">
        <v>0.163</v>
      </c>
      <c r="J16" s="32" t="n">
        <v>0.16</v>
      </c>
      <c r="K16" s="32" t="n">
        <v>0.158</v>
      </c>
      <c r="L16" s="32" t="n">
        <v>0.156</v>
      </c>
      <c r="M16" s="32" t="n">
        <v>0.155</v>
      </c>
      <c r="N16" s="32" t="n">
        <v>0.154</v>
      </c>
      <c r="O16" s="32" t="n">
        <v>0.153</v>
      </c>
      <c r="Q16" s="36" t="inlineStr">
        <is>
          <t>Hist 16.2%</t>
        </is>
      </c>
      <c r="R16" s="36" t="inlineStr">
        <is>
          <t>AR FY26 MD&amp;A</t>
        </is>
      </c>
      <c r="S16" s="36" t="inlineStr">
        <is>
          <t>Operating leverage as revenue scales</t>
        </is>
      </c>
    </row>
    <row r="17" ht="30" customHeight="1">
      <c r="A17" s="5" t="inlineStr">
        <is>
          <t>Professional &amp; consultancy (doctor) fee %</t>
        </is>
      </c>
      <c r="I17" s="32" t="n">
        <v>0.215</v>
      </c>
      <c r="J17" s="32" t="n">
        <v>0.214</v>
      </c>
      <c r="K17" s="32" t="n">
        <v>0.213</v>
      </c>
      <c r="L17" s="32" t="n">
        <v>0.212</v>
      </c>
      <c r="M17" s="32" t="n">
        <v>0.211</v>
      </c>
      <c r="N17" s="32" t="n">
        <v>0.21</v>
      </c>
      <c r="O17" s="32" t="n">
        <v>0.21</v>
      </c>
      <c r="Q17" s="36" t="inlineStr">
        <is>
          <t>Hist 21.4%</t>
        </is>
      </c>
      <c r="R17" s="36" t="inlineStr">
        <is>
          <t>AR FY26 MD&amp;A</t>
        </is>
      </c>
      <c r="S17" s="36" t="inlineStr">
        <is>
          <t>Variable clinician payout; broadly stable</t>
        </is>
      </c>
    </row>
    <row r="18" ht="30" customHeight="1">
      <c r="A18" s="5" t="inlineStr">
        <is>
          <t>Other operating expenses %</t>
        </is>
      </c>
      <c r="I18" s="32" t="n">
        <v>0.142</v>
      </c>
      <c r="J18" s="32" t="n">
        <v>0.14</v>
      </c>
      <c r="K18" s="32" t="n">
        <v>0.138</v>
      </c>
      <c r="L18" s="32" t="n">
        <v>0.136</v>
      </c>
      <c r="M18" s="32" t="n">
        <v>0.135</v>
      </c>
      <c r="N18" s="32" t="n">
        <v>0.134</v>
      </c>
      <c r="O18" s="32" t="n">
        <v>0.133</v>
      </c>
      <c r="Q18" s="36" t="inlineStr">
        <is>
          <t>Hist 14.2%</t>
        </is>
      </c>
      <c r="R18" s="36" t="inlineStr">
        <is>
          <t>AR FY26 MD&amp;A</t>
        </is>
      </c>
      <c r="S18" s="36" t="inlineStr">
        <is>
          <t>Operating leverage / cost discipline</t>
        </is>
      </c>
    </row>
    <row r="19">
      <c r="A19" s="19" t="inlineStr">
        <is>
          <t>Capex, PPE &amp; leases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30" customHeight="1">
      <c r="A20" s="5" t="inlineStr">
        <is>
          <t>Total capex (Rs Cr)</t>
        </is>
      </c>
      <c r="I20" s="17" t="n">
        <v>2000</v>
      </c>
      <c r="J20" s="17" t="n">
        <v>2500</v>
      </c>
      <c r="K20" s="17" t="n">
        <v>2100</v>
      </c>
      <c r="L20" s="17" t="n">
        <v>1500</v>
      </c>
      <c r="M20" s="17" t="n">
        <v>1300</v>
      </c>
      <c r="N20" s="17" t="n">
        <v>1350</v>
      </c>
      <c r="O20" s="17" t="n">
        <v>1400</v>
      </c>
      <c r="Q20" s="36" t="inlineStr">
        <is>
          <t>Pipeline capex to FY30 ~Rs6,672 Cr + routine + land</t>
        </is>
      </c>
      <c r="R20" s="36" t="inlineStr">
        <is>
          <t>AR FY26; concall</t>
        </is>
      </c>
      <c r="S20" s="36" t="inlineStr">
        <is>
          <t>Growth capex peaks FY28; + maintenance ~4% of revenue</t>
        </is>
      </c>
    </row>
    <row r="21" ht="30" customHeight="1">
      <c r="A21" s="5" t="inlineStr">
        <is>
          <t xml:space="preserve">  (growth capex ex land/routine per AR)</t>
        </is>
      </c>
      <c r="I21" s="17" t="n">
        <v>1637</v>
      </c>
      <c r="J21" s="17" t="n">
        <v>2280</v>
      </c>
      <c r="K21" s="17" t="n">
        <v>1770</v>
      </c>
      <c r="L21" s="17" t="n">
        <v>985</v>
      </c>
      <c r="M21" s="17" t="n">
        <v>0</v>
      </c>
      <c r="N21" s="17" t="n">
        <v>0</v>
      </c>
      <c r="O21" s="17" t="n">
        <v>0</v>
      </c>
      <c r="Q21" s="36" t="inlineStr">
        <is>
          <t>AR pipeline outflow</t>
        </is>
      </c>
      <c r="R21" s="36" t="inlineStr">
        <is>
          <t>AR FY26 pipeline table</t>
        </is>
      </c>
      <c r="S21" s="36" t="inlineStr">
        <is>
          <t>Memo only; not linked</t>
        </is>
      </c>
    </row>
    <row r="22" ht="30" customHeight="1">
      <c r="A22" s="5" t="inlineStr">
        <is>
          <t>PPE depreciation rate (% opening net)</t>
        </is>
      </c>
      <c r="I22" s="32" t="n">
        <v>0.08</v>
      </c>
      <c r="J22" s="32" t="n">
        <v>0.08</v>
      </c>
      <c r="K22" s="32" t="n">
        <v>0.08</v>
      </c>
      <c r="L22" s="32" t="n">
        <v>0.08</v>
      </c>
      <c r="M22" s="32" t="n">
        <v>0.08</v>
      </c>
      <c r="N22" s="32" t="n">
        <v>0.08</v>
      </c>
      <c r="O22" s="32" t="n">
        <v>0.08</v>
      </c>
      <c r="Q22" s="36" t="inlineStr">
        <is>
          <t>Hist ~8%</t>
        </is>
      </c>
      <c r="R22" s="36" t="inlineStr">
        <is>
          <t>AR useful lives (Sch II)</t>
        </is>
      </c>
      <c r="S22" s="36" t="inlineStr">
        <is>
          <t>Blended block; buildings long-life, equipment 2-18y</t>
        </is>
      </c>
    </row>
    <row r="23" ht="30" customHeight="1">
      <c r="A23" s="5" t="inlineStr">
        <is>
          <t>ROU depreciation / lease additions (Rs Cr)</t>
        </is>
      </c>
      <c r="I23" s="17" t="n">
        <v>60</v>
      </c>
      <c r="J23" s="17" t="n">
        <v>60</v>
      </c>
      <c r="K23" s="17" t="n">
        <v>60</v>
      </c>
      <c r="L23" s="17" t="n">
        <v>60</v>
      </c>
      <c r="M23" s="17" t="n">
        <v>60</v>
      </c>
      <c r="N23" s="17" t="n">
        <v>60</v>
      </c>
      <c r="O23" s="17" t="n">
        <v>60</v>
      </c>
      <c r="Q23" s="36" t="inlineStr">
        <is>
          <t>Steady state</t>
        </is>
      </c>
      <c r="R23" s="36" t="inlineStr">
        <is>
          <t>AR FY26</t>
        </is>
      </c>
      <c r="S23" s="36" t="inlineStr">
        <is>
          <t>Leases modelled at steady state (additions=payments=dep)</t>
        </is>
      </c>
    </row>
    <row r="24" ht="30" customHeight="1">
      <c r="A24" s="5" t="inlineStr">
        <is>
          <t>Intangible amortisation (Rs Cr, flat)</t>
        </is>
      </c>
      <c r="I24" s="17" t="n">
        <v>55</v>
      </c>
      <c r="J24" s="17" t="n">
        <v>55</v>
      </c>
      <c r="K24" s="17" t="n">
        <v>55</v>
      </c>
      <c r="L24" s="17" t="n">
        <v>55</v>
      </c>
      <c r="M24" s="17" t="n">
        <v>55</v>
      </c>
      <c r="N24" s="17" t="n">
        <v>55</v>
      </c>
      <c r="O24" s="17" t="n">
        <v>55</v>
      </c>
      <c r="Q24" s="36" t="inlineStr">
        <is>
          <t>Hist ~Rs50 Cr</t>
        </is>
      </c>
      <c r="R24" s="36" t="inlineStr">
        <is>
          <t>AR FY26 Note 9</t>
        </is>
      </c>
      <c r="S24" s="36" t="inlineStr">
        <is>
          <t>Finite-life service agreements; goodwill/trademark not amortised</t>
        </is>
      </c>
    </row>
    <row r="25" ht="30" customHeight="1">
      <c r="A25" s="5" t="inlineStr">
        <is>
          <t>Lease interest rate %</t>
        </is>
      </c>
      <c r="I25" s="32" t="n">
        <v>0.08</v>
      </c>
      <c r="J25" s="32" t="n">
        <v>0.08</v>
      </c>
      <c r="K25" s="32" t="n">
        <v>0.08</v>
      </c>
      <c r="L25" s="32" t="n">
        <v>0.08</v>
      </c>
      <c r="M25" s="32" t="n">
        <v>0.08</v>
      </c>
      <c r="N25" s="32" t="n">
        <v>0.08</v>
      </c>
      <c r="O25" s="32" t="n">
        <v>0.08</v>
      </c>
      <c r="Q25" s="36" t="inlineStr">
        <is>
          <t>Ind AS 116 IBR</t>
        </is>
      </c>
      <c r="R25" s="36" t="inlineStr">
        <is>
          <t>AR FY26 Note 22</t>
        </is>
      </c>
      <c r="S25" s="36" t="inlineStr">
        <is>
          <t>Incremental borrowing rate on lease liabilities</t>
        </is>
      </c>
    </row>
    <row r="26">
      <c r="A26" s="19" t="inlineStr">
        <is>
          <t>Working capital (% of revenue)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30" customHeight="1">
      <c r="A27" s="5" t="inlineStr">
        <is>
          <t>Trade receivables % of revenue</t>
        </is>
      </c>
      <c r="I27" s="32" t="n">
        <v>0.116</v>
      </c>
      <c r="J27" s="32" t="n">
        <v>0.116</v>
      </c>
      <c r="K27" s="32" t="n">
        <v>0.116</v>
      </c>
      <c r="L27" s="32" t="n">
        <v>0.116</v>
      </c>
      <c r="M27" s="32" t="n">
        <v>0.116</v>
      </c>
      <c r="N27" s="32" t="n">
        <v>0.116</v>
      </c>
      <c r="O27" s="32" t="n">
        <v>0.116</v>
      </c>
      <c r="Q27" s="36" t="inlineStr">
        <is>
          <t>Hist ~11.6% (~42 DSO)</t>
        </is>
      </c>
      <c r="R27" s="36" t="inlineStr">
        <is>
          <t>AR BS</t>
        </is>
      </c>
      <c r="S27" s="36" t="inlineStr">
        <is>
          <t>Rising institutional/insurance receivables</t>
        </is>
      </c>
    </row>
    <row r="28" ht="30" customHeight="1">
      <c r="A28" s="5" t="inlineStr">
        <is>
          <t>Inventories % of revenue</t>
        </is>
      </c>
      <c r="I28" s="32" t="n">
        <v>0.0137</v>
      </c>
      <c r="J28" s="32" t="n">
        <v>0.0137</v>
      </c>
      <c r="K28" s="32" t="n">
        <v>0.0137</v>
      </c>
      <c r="L28" s="32" t="n">
        <v>0.0137</v>
      </c>
      <c r="M28" s="32" t="n">
        <v>0.0137</v>
      </c>
      <c r="N28" s="32" t="n">
        <v>0.0137</v>
      </c>
      <c r="O28" s="32" t="n">
        <v>0.0137</v>
      </c>
      <c r="Q28" s="36" t="inlineStr">
        <is>
          <t>Hist ~1.4%</t>
        </is>
      </c>
      <c r="R28" s="36" t="inlineStr">
        <is>
          <t>AR BS</t>
        </is>
      </c>
      <c r="S28" s="36" t="inlineStr">
        <is>
          <t>Drugs/consumables stock</t>
        </is>
      </c>
    </row>
    <row r="29" ht="30" customHeight="1">
      <c r="A29" s="5" t="inlineStr">
        <is>
          <t>Trade payables % of revenue</t>
        </is>
      </c>
      <c r="I29" s="32" t="n">
        <v>0.1026</v>
      </c>
      <c r="J29" s="32" t="n">
        <v>0.1026</v>
      </c>
      <c r="K29" s="32" t="n">
        <v>0.1026</v>
      </c>
      <c r="L29" s="32" t="n">
        <v>0.1026</v>
      </c>
      <c r="M29" s="32" t="n">
        <v>0.1026</v>
      </c>
      <c r="N29" s="32" t="n">
        <v>0.1026</v>
      </c>
      <c r="O29" s="32" t="n">
        <v>0.1026</v>
      </c>
      <c r="Q29" s="36" t="inlineStr">
        <is>
          <t>Hist ~10.3%</t>
        </is>
      </c>
      <c r="R29" s="36" t="inlineStr">
        <is>
          <t>AR BS</t>
        </is>
      </c>
      <c r="S29" s="36" t="inlineStr">
        <is>
          <t>Supplier + capital creditors</t>
        </is>
      </c>
    </row>
    <row r="30" ht="30" customHeight="1">
      <c r="A30" s="5" t="inlineStr">
        <is>
          <t>Other current assets % of revenue</t>
        </is>
      </c>
      <c r="I30" s="32" t="n">
        <v>0.0065</v>
      </c>
      <c r="J30" s="32" t="n">
        <v>0.0065</v>
      </c>
      <c r="K30" s="32" t="n">
        <v>0.0065</v>
      </c>
      <c r="L30" s="32" t="n">
        <v>0.0065</v>
      </c>
      <c r="M30" s="32" t="n">
        <v>0.0065</v>
      </c>
      <c r="N30" s="32" t="n">
        <v>0.0065</v>
      </c>
      <c r="O30" s="32" t="n">
        <v>0.0065</v>
      </c>
      <c r="Q30" s="36" t="inlineStr">
        <is>
          <t>Hist ~0.65%</t>
        </is>
      </c>
      <c r="R30" s="36" t="inlineStr">
        <is>
          <t>AR BS</t>
        </is>
      </c>
      <c r="S30" s="36" t="inlineStr"/>
    </row>
    <row r="31" ht="30" customHeight="1">
      <c r="A31" s="5" t="inlineStr">
        <is>
          <t>Other current liabilities % of revenue</t>
        </is>
      </c>
      <c r="I31" s="32" t="n">
        <v>0.0207</v>
      </c>
      <c r="J31" s="32" t="n">
        <v>0.0207</v>
      </c>
      <c r="K31" s="32" t="n">
        <v>0.0207</v>
      </c>
      <c r="L31" s="32" t="n">
        <v>0.0207</v>
      </c>
      <c r="M31" s="32" t="n">
        <v>0.0207</v>
      </c>
      <c r="N31" s="32" t="n">
        <v>0.0207</v>
      </c>
      <c r="O31" s="32" t="n">
        <v>0.0207</v>
      </c>
      <c r="Q31" s="36" t="inlineStr">
        <is>
          <t>Hist ~2.1%</t>
        </is>
      </c>
      <c r="R31" s="36" t="inlineStr">
        <is>
          <t>AR BS</t>
        </is>
      </c>
      <c r="S31" s="36" t="inlineStr">
        <is>
          <t>Deferred income / statutory dues</t>
        </is>
      </c>
    </row>
    <row r="32">
      <c r="A32" s="19" t="inlineStr">
        <is>
          <t>Financing &amp; tax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30" customHeight="1">
      <c r="A33" s="5" t="inlineStr">
        <is>
          <t>Gross debt (period-end, Rs Cr)</t>
        </is>
      </c>
      <c r="I33" s="17" t="n">
        <v>3400</v>
      </c>
      <c r="J33" s="17" t="n">
        <v>3900</v>
      </c>
      <c r="K33" s="17" t="n">
        <v>3900</v>
      </c>
      <c r="L33" s="17" t="n">
        <v>3400</v>
      </c>
      <c r="M33" s="17" t="n">
        <v>2800</v>
      </c>
      <c r="N33" s="17" t="n">
        <v>2200</v>
      </c>
      <c r="O33" s="17" t="n">
        <v>1600</v>
      </c>
      <c r="Q33" s="36" t="inlineStr">
        <is>
          <t>Fund capex; delever on FCF</t>
        </is>
      </c>
      <c r="R33" s="36" t="inlineStr">
        <is>
          <t>CARE (net lev&lt;1.5x); concall</t>
        </is>
      </c>
      <c r="S33" s="36" t="inlineStr">
        <is>
          <t>Rises through FY28-29 capex peak, then delevers; net debt/EBITDA &lt;1.5x</t>
        </is>
      </c>
    </row>
    <row r="34" ht="30" customHeight="1">
      <c r="A34" s="5" t="inlineStr">
        <is>
          <t>Borrowing interest rate %</t>
        </is>
      </c>
      <c r="I34" s="32" t="n">
        <v>0.07000000000000001</v>
      </c>
      <c r="J34" s="32" t="n">
        <v>0.07000000000000001</v>
      </c>
      <c r="K34" s="32" t="n">
        <v>0.07000000000000001</v>
      </c>
      <c r="L34" s="32" t="n">
        <v>0.07000000000000001</v>
      </c>
      <c r="M34" s="32" t="n">
        <v>0.07000000000000001</v>
      </c>
      <c r="N34" s="32" t="n">
        <v>0.07000000000000001</v>
      </c>
      <c r="O34" s="32" t="n">
        <v>0.07000000000000001</v>
      </c>
      <c r="Q34" s="36" t="inlineStr">
        <is>
          <t>Hist ~6-7%</t>
        </is>
      </c>
      <c r="R34" s="36" t="inlineStr">
        <is>
          <t>AR FY26; CARE AA+</t>
        </is>
      </c>
      <c r="S34" s="36" t="inlineStr">
        <is>
          <t>AA+ rated cost of funds</t>
        </is>
      </c>
    </row>
    <row r="35" ht="30" customHeight="1">
      <c r="A35" s="5" t="inlineStr">
        <is>
          <t>Effective tax rate %</t>
        </is>
      </c>
      <c r="I35" s="32" t="n">
        <v>0.24</v>
      </c>
      <c r="J35" s="32" t="n">
        <v>0.24</v>
      </c>
      <c r="K35" s="32" t="n">
        <v>0.24</v>
      </c>
      <c r="L35" s="32" t="n">
        <v>0.24</v>
      </c>
      <c r="M35" s="32" t="n">
        <v>0.24</v>
      </c>
      <c r="N35" s="32" t="n">
        <v>0.24</v>
      </c>
      <c r="O35" s="32" t="n">
        <v>0.24</v>
      </c>
      <c r="Q35" s="36" t="inlineStr">
        <is>
          <t>Hist normalised ~23-24%</t>
        </is>
      </c>
      <c r="R35" s="36" t="inlineStr">
        <is>
          <t>AR FY24-25</t>
        </is>
      </c>
      <c r="S35" s="36" t="inlineStr">
        <is>
          <t>FY26 ETR distorted by one-time DTA gain; normalised 24%</t>
        </is>
      </c>
    </row>
    <row r="36" ht="30" customHeight="1">
      <c r="A36" s="5" t="inlineStr">
        <is>
          <t>Dividend payout % of PAT</t>
        </is>
      </c>
      <c r="I36" s="32" t="n">
        <v>0.12</v>
      </c>
      <c r="J36" s="32" t="n">
        <v>0.12</v>
      </c>
      <c r="K36" s="32" t="n">
        <v>0.12</v>
      </c>
      <c r="L36" s="32" t="n">
        <v>0.12</v>
      </c>
      <c r="M36" s="32" t="n">
        <v>0.12</v>
      </c>
      <c r="N36" s="32" t="n">
        <v>0.12</v>
      </c>
      <c r="O36" s="32" t="n">
        <v>0.12</v>
      </c>
      <c r="Q36" s="36" t="inlineStr">
        <is>
          <t>Hist ~10%</t>
        </is>
      </c>
      <c r="R36" s="36" t="inlineStr">
        <is>
          <t>AR FY26</t>
        </is>
      </c>
      <c r="S36" s="36" t="inlineStr">
        <is>
          <t>Retain for growth capex</t>
        </is>
      </c>
    </row>
    <row r="37">
      <c r="A37" s="19" t="inlineStr">
        <is>
          <t>Valuation inputs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>
      <c r="A38" s="5" t="inlineStr">
        <is>
          <t xml:space="preserve">   Risk-free rate (India 10Y G-sec)</t>
        </is>
      </c>
      <c r="I38" s="32" t="n">
        <v>0.06900000000000001</v>
      </c>
      <c r="R38" s="37" t="inlineStr">
        <is>
          <t>tradingeconomics.com Jul-2026</t>
        </is>
      </c>
      <c r="S38" s="37" t="inlineStr">
        <is>
          <t>10Y G-sec ~6.82%</t>
        </is>
      </c>
    </row>
    <row r="39">
      <c r="A39" s="5" t="inlineStr">
        <is>
          <t xml:space="preserve">   Equity risk premium</t>
        </is>
      </c>
      <c r="I39" s="32" t="n">
        <v>0.07000000000000001</v>
      </c>
      <c r="R39" s="37" t="inlineStr">
        <is>
          <t>Damodaran India ERP</t>
        </is>
      </c>
      <c r="S39" s="37" t="inlineStr">
        <is>
          <t>~7.0%</t>
        </is>
      </c>
    </row>
    <row r="40">
      <c r="A40" s="5" t="inlineStr">
        <is>
          <t xml:space="preserve">   Beta (levered)</t>
        </is>
      </c>
      <c r="I40" s="38" t="n">
        <v>0.75</v>
      </c>
      <c r="R40" s="37" t="inlineStr">
        <is>
          <t>Sector beta</t>
        </is>
      </c>
      <c r="S40" s="37" t="inlineStr">
        <is>
          <t>Defensive healthcare; ~0.75</t>
        </is>
      </c>
    </row>
    <row r="41">
      <c r="A41" s="5" t="inlineStr">
        <is>
          <t xml:space="preserve">   Pre-tax cost of debt</t>
        </is>
      </c>
      <c r="I41" s="32" t="n">
        <v>0.07000000000000001</v>
      </c>
      <c r="R41" s="37" t="inlineStr">
        <is>
          <t>AR / CARE AA+</t>
        </is>
      </c>
      <c r="S41" s="37" t="inlineStr">
        <is>
          <t>~7.0%</t>
        </is>
      </c>
    </row>
    <row r="42">
      <c r="A42" s="5" t="inlineStr">
        <is>
          <t xml:space="preserve">   Terminal growth rate</t>
        </is>
      </c>
      <c r="I42" s="32" t="n">
        <v>0.055</v>
      </c>
      <c r="R42" s="37" t="inlineStr">
        <is>
          <t>Analyst judgement</t>
        </is>
      </c>
      <c r="S42" s="37" t="inlineStr">
        <is>
          <t>Below nominal GDP; conservative</t>
        </is>
      </c>
    </row>
    <row r="43">
      <c r="A43" s="5" t="inlineStr">
        <is>
          <t xml:space="preserve">   Current market price (Rs)</t>
        </is>
      </c>
      <c r="I43" s="38" t="n">
        <v>1080.4</v>
      </c>
      <c r="R43" s="37" t="inlineStr">
        <is>
          <t>NSE 24-Jul-2026</t>
        </is>
      </c>
      <c r="S43" s="37" t="inlineStr">
        <is>
          <t>MAXHEALTH</t>
        </is>
      </c>
    </row>
    <row r="44">
      <c r="A44" s="5" t="inlineStr">
        <is>
          <t xml:space="preserve">   Shares outstanding (Cr)</t>
        </is>
      </c>
      <c r="I44" s="38" t="n">
        <v>97.31</v>
      </c>
      <c r="R44" s="37" t="inlineStr">
        <is>
          <t>AR FY26</t>
        </is>
      </c>
      <c r="S44" s="37" t="inlineStr">
        <is>
          <t>97.31 Cr shares (Rs10 FV)</t>
        </is>
      </c>
    </row>
    <row r="45">
      <c r="A45" s="5" t="inlineStr">
        <is>
          <t xml:space="preserve">   Net debt FY26 (Rs Cr)</t>
        </is>
      </c>
      <c r="I45" s="17" t="n">
        <v>2206.22</v>
      </c>
      <c r="R45" s="37" t="inlineStr">
        <is>
          <t>AR FY26 BS / MD&amp;A</t>
        </is>
      </c>
      <c r="S45" s="37" t="inlineStr">
        <is>
          <t>Gross debt - cash &amp; bank</t>
        </is>
      </c>
    </row>
    <row r="46">
      <c r="A46" s="5" t="inlineStr">
        <is>
          <t xml:space="preserve">   Target EV/EBITDA (x)</t>
        </is>
      </c>
      <c r="I46" s="38" t="n">
        <v>30</v>
      </c>
      <c r="R46" s="37" t="inlineStr">
        <is>
          <t>Peer set</t>
        </is>
      </c>
      <c r="S46" s="37" t="inlineStr">
        <is>
          <t>Premium to peers (quality/growth)</t>
        </is>
      </c>
    </row>
    <row r="47">
      <c r="A47" s="5" t="inlineStr">
        <is>
          <t xml:space="preserve">   Target P/E (x)</t>
        </is>
      </c>
      <c r="I47" s="38" t="n">
        <v>52</v>
      </c>
      <c r="R47" s="37" t="inlineStr">
        <is>
          <t>Peer set</t>
        </is>
      </c>
      <c r="S47" s="37" t="inlineStr">
        <is>
          <t>Forward multiple</t>
        </is>
      </c>
    </row>
    <row r="48">
      <c r="A48" s="5" t="inlineStr">
        <is>
          <t xml:space="preserve">   DCF exit EV/EBITDA (x)</t>
        </is>
      </c>
      <c r="I48" s="38" t="n">
        <v>22</v>
      </c>
      <c r="R48" s="37" t="inlineStr">
        <is>
          <t>Analyst</t>
        </is>
      </c>
      <c r="S48" s="37" t="inlineStr">
        <is>
          <t>Terminal exit multiple alt.</t>
        </is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9.  BED CAPACITY SCHEDULE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5" t="inlineStr">
        <is>
          <t>Opening operational beds</t>
        </is>
      </c>
      <c r="I5" s="12">
        <f>'Historical KPIs'!H6</f>
        <v/>
      </c>
      <c r="J5" s="21">
        <f>I9</f>
        <v/>
      </c>
      <c r="K5" s="21">
        <f>J9</f>
        <v/>
      </c>
      <c r="L5" s="21">
        <f>K9</f>
        <v/>
      </c>
      <c r="M5" s="21">
        <f>L9</f>
        <v/>
      </c>
      <c r="N5" s="21">
        <f>M9</f>
        <v/>
      </c>
      <c r="O5" s="21">
        <f>N9</f>
        <v/>
      </c>
    </row>
    <row r="6">
      <c r="A6" s="5" t="inlineStr">
        <is>
          <t>Add: organic bed additions</t>
        </is>
      </c>
      <c r="I6" s="12">
        <f>'Assumptions'!I6</f>
        <v/>
      </c>
      <c r="J6" s="12">
        <f>'Assumptions'!J6</f>
        <v/>
      </c>
      <c r="K6" s="12">
        <f>'Assumptions'!K6</f>
        <v/>
      </c>
      <c r="L6" s="12">
        <f>'Assumptions'!L6</f>
        <v/>
      </c>
      <c r="M6" s="12">
        <f>'Assumptions'!M6</f>
        <v/>
      </c>
      <c r="N6" s="12">
        <f>'Assumptions'!N6</f>
        <v/>
      </c>
      <c r="O6" s="12">
        <f>'Assumptions'!O6</f>
        <v/>
      </c>
    </row>
    <row r="7">
      <c r="A7" s="5" t="inlineStr">
        <is>
          <t>Add: acquired beds</t>
        </is>
      </c>
      <c r="I7" s="12">
        <f>'Assumptions'!I7</f>
        <v/>
      </c>
      <c r="J7" s="12">
        <f>'Assumptions'!J7</f>
        <v/>
      </c>
      <c r="K7" s="12">
        <f>'Assumptions'!K7</f>
        <v/>
      </c>
      <c r="L7" s="12">
        <f>'Assumptions'!L7</f>
        <v/>
      </c>
      <c r="M7" s="12">
        <f>'Assumptions'!M7</f>
        <v/>
      </c>
      <c r="N7" s="12">
        <f>'Assumptions'!N7</f>
        <v/>
      </c>
      <c r="O7" s="12">
        <f>'Assumptions'!O7</f>
        <v/>
      </c>
    </row>
    <row r="8">
      <c r="A8" s="5" t="inlineStr">
        <is>
          <t>Less: decommissioned beds</t>
        </is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</row>
    <row r="9">
      <c r="A9" s="22" t="inlineStr">
        <is>
          <t>Closing operational beds</t>
        </is>
      </c>
      <c r="I9" s="23">
        <f>I5+I6+I7-I8</f>
        <v/>
      </c>
      <c r="J9" s="23">
        <f>J5+J6+J7-J8</f>
        <v/>
      </c>
      <c r="K9" s="23">
        <f>K5+K6+K7-K8</f>
        <v/>
      </c>
      <c r="L9" s="23">
        <f>L5+L6+L7-L8</f>
        <v/>
      </c>
      <c r="M9" s="23">
        <f>M5+M6+M7-M8</f>
        <v/>
      </c>
      <c r="N9" s="23">
        <f>N5+N6+N7-N8</f>
        <v/>
      </c>
      <c r="O9" s="23">
        <f>O5+O6+O7-O8</f>
        <v/>
      </c>
    </row>
    <row r="10">
      <c r="A10" s="4" t="inlineStr">
        <is>
          <t>Average operational beds</t>
        </is>
      </c>
      <c r="I10" s="18">
        <f>(I5+I9)/2</f>
        <v/>
      </c>
      <c r="J10" s="18">
        <f>(J5+J9)/2</f>
        <v/>
      </c>
      <c r="K10" s="18">
        <f>(K5+K9)/2</f>
        <v/>
      </c>
      <c r="L10" s="18">
        <f>(L5+L9)/2</f>
        <v/>
      </c>
      <c r="M10" s="18">
        <f>(M5+M9)/2</f>
        <v/>
      </c>
      <c r="N10" s="18">
        <f>(N5+N9)/2</f>
        <v/>
      </c>
      <c r="O10" s="18">
        <f>(O5+O9)/2</f>
        <v/>
      </c>
    </row>
    <row r="12">
      <c r="A12" s="28" t="inlineStr">
        <is>
          <t>Opening FY27 = FY26A operational beds (3,841). Pipeline: Lucknow, Gurgaon Sec-56 (500), Mohali/Nanavati/Smart brownfield, Nagpur (100), Dwarka (260), Vaishali (200), Patparganj (400) + Kalinga acq (250).</t>
        </is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10.  OCCUPANCY &amp; ARPOB SCHEDULE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5" t="inlineStr">
        <is>
          <t>Average operational beds</t>
        </is>
      </c>
      <c r="I5" s="12">
        <f>'Bed Capacity'!I10</f>
        <v/>
      </c>
      <c r="J5" s="12">
        <f>'Bed Capacity'!J10</f>
        <v/>
      </c>
      <c r="K5" s="12">
        <f>'Bed Capacity'!K10</f>
        <v/>
      </c>
      <c r="L5" s="12">
        <f>'Bed Capacity'!L10</f>
        <v/>
      </c>
      <c r="M5" s="12">
        <f>'Bed Capacity'!M10</f>
        <v/>
      </c>
      <c r="N5" s="12">
        <f>'Bed Capacity'!N10</f>
        <v/>
      </c>
      <c r="O5" s="12">
        <f>'Bed Capacity'!O10</f>
        <v/>
      </c>
    </row>
    <row r="6">
      <c r="A6" s="5" t="inlineStr">
        <is>
          <t>Occupancy %</t>
        </is>
      </c>
      <c r="I6" s="9">
        <f>'Assumptions'!I8</f>
        <v/>
      </c>
      <c r="J6" s="9">
        <f>'Assumptions'!J8</f>
        <v/>
      </c>
      <c r="K6" s="9">
        <f>'Assumptions'!K8</f>
        <v/>
      </c>
      <c r="L6" s="9">
        <f>'Assumptions'!L8</f>
        <v/>
      </c>
      <c r="M6" s="9">
        <f>'Assumptions'!M8</f>
        <v/>
      </c>
      <c r="N6" s="9">
        <f>'Assumptions'!N8</f>
        <v/>
      </c>
      <c r="O6" s="9">
        <f>'Assumptions'!O8</f>
        <v/>
      </c>
    </row>
    <row r="7">
      <c r="A7" s="4" t="inlineStr">
        <is>
          <t>Occupied beds (avg)</t>
        </is>
      </c>
      <c r="I7" s="18">
        <f>I5*I6</f>
        <v/>
      </c>
      <c r="J7" s="18">
        <f>J5*J6</f>
        <v/>
      </c>
      <c r="K7" s="18">
        <f>K5*K6</f>
        <v/>
      </c>
      <c r="L7" s="18">
        <f>L5*L6</f>
        <v/>
      </c>
      <c r="M7" s="18">
        <f>M5*M6</f>
        <v/>
      </c>
      <c r="N7" s="18">
        <f>N5*N6</f>
        <v/>
      </c>
      <c r="O7" s="18">
        <f>O5*O6</f>
        <v/>
      </c>
    </row>
    <row r="8">
      <c r="A8" s="4" t="inlineStr">
        <is>
          <t>ARPOB (Rs 000/occ bed/day)</t>
        </is>
      </c>
      <c r="I8" s="39">
        <f>'Historical KPIs'!H9*(1+'Assumptions'!I9)</f>
        <v/>
      </c>
      <c r="J8" s="39">
        <f>I8*(1+'Assumptions'!J9)</f>
        <v/>
      </c>
      <c r="K8" s="39">
        <f>J8*(1+'Assumptions'!K9)</f>
        <v/>
      </c>
      <c r="L8" s="39">
        <f>K8*(1+'Assumptions'!L9)</f>
        <v/>
      </c>
      <c r="M8" s="39">
        <f>L8*(1+'Assumptions'!M9)</f>
        <v/>
      </c>
      <c r="N8" s="39">
        <f>M8*(1+'Assumptions'!N9)</f>
        <v/>
      </c>
      <c r="O8" s="39">
        <f>N8*(1+'Assumptions'!O9)</f>
        <v/>
      </c>
    </row>
    <row r="9">
      <c r="A9" s="5" t="inlineStr">
        <is>
          <t xml:space="preserve">  ARPOB growth %</t>
        </is>
      </c>
      <c r="I9" s="9">
        <f>'Assumptions'!I9</f>
        <v/>
      </c>
      <c r="J9" s="9">
        <f>'Assumptions'!J9</f>
        <v/>
      </c>
      <c r="K9" s="9">
        <f>'Assumptions'!K9</f>
        <v/>
      </c>
      <c r="L9" s="9">
        <f>'Assumptions'!L9</f>
        <v/>
      </c>
      <c r="M9" s="9">
        <f>'Assumptions'!M9</f>
        <v/>
      </c>
      <c r="N9" s="9">
        <f>'Assumptions'!N9</f>
        <v/>
      </c>
      <c r="O9" s="9">
        <f>'Assumptions'!O9</f>
        <v/>
      </c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11.  REVENUE BUILD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5" t="inlineStr">
        <is>
          <t>Occupied beds (avg)</t>
        </is>
      </c>
      <c r="I5" s="12">
        <f>'Occupancy ARPOB'!I7</f>
        <v/>
      </c>
      <c r="J5" s="12">
        <f>'Occupancy ARPOB'!J7</f>
        <v/>
      </c>
      <c r="K5" s="12">
        <f>'Occupancy ARPOB'!K7</f>
        <v/>
      </c>
      <c r="L5" s="12">
        <f>'Occupancy ARPOB'!L7</f>
        <v/>
      </c>
      <c r="M5" s="12">
        <f>'Occupancy ARPOB'!M7</f>
        <v/>
      </c>
      <c r="N5" s="12">
        <f>'Occupancy ARPOB'!N7</f>
        <v/>
      </c>
      <c r="O5" s="12">
        <f>'Occupancy ARPOB'!O7</f>
        <v/>
      </c>
    </row>
    <row r="6">
      <c r="A6" s="5" t="inlineStr">
        <is>
          <t>ARPOB (Rs 000/day)</t>
        </is>
      </c>
      <c r="I6" s="40">
        <f>'Occupancy ARPOB'!I8</f>
        <v/>
      </c>
      <c r="J6" s="40">
        <f>'Occupancy ARPOB'!J8</f>
        <v/>
      </c>
      <c r="K6" s="40">
        <f>'Occupancy ARPOB'!K8</f>
        <v/>
      </c>
      <c r="L6" s="40">
        <f>'Occupancy ARPOB'!L8</f>
        <v/>
      </c>
      <c r="M6" s="40">
        <f>'Occupancy ARPOB'!M8</f>
        <v/>
      </c>
      <c r="N6" s="40">
        <f>'Occupancy ARPOB'!N8</f>
        <v/>
      </c>
      <c r="O6" s="40">
        <f>'Occupancy ARPOB'!O8</f>
        <v/>
      </c>
    </row>
    <row r="7">
      <c r="A7" s="5" t="inlineStr">
        <is>
          <t>Operating days</t>
        </is>
      </c>
      <c r="I7" s="17" t="n">
        <v>365</v>
      </c>
      <c r="J7" s="17" t="n">
        <v>365</v>
      </c>
      <c r="K7" s="17" t="n">
        <v>365</v>
      </c>
      <c r="L7" s="17" t="n">
        <v>365</v>
      </c>
      <c r="M7" s="17" t="n">
        <v>365</v>
      </c>
      <c r="N7" s="17" t="n">
        <v>365</v>
      </c>
      <c r="O7" s="17" t="n">
        <v>365</v>
      </c>
    </row>
    <row r="8">
      <c r="A8" s="4" t="inlineStr">
        <is>
          <t>Hospital revenue (Rs Cr) = beds x ARPOB x 365</t>
        </is>
      </c>
      <c r="I8" s="18">
        <f>I5*I6*1000*365/10000000</f>
        <v/>
      </c>
      <c r="J8" s="18">
        <f>J5*J6*1000*365/10000000</f>
        <v/>
      </c>
      <c r="K8" s="18">
        <f>K5*K6*1000*365/10000000</f>
        <v/>
      </c>
      <c r="L8" s="18">
        <f>L5*L6*1000*365/10000000</f>
        <v/>
      </c>
      <c r="M8" s="18">
        <f>M5*M6*1000*365/10000000</f>
        <v/>
      </c>
      <c r="N8" s="18">
        <f>N5*N6*1000*365/10000000</f>
        <v/>
      </c>
      <c r="O8" s="18">
        <f>O5*O6*1000*365/10000000</f>
        <v/>
      </c>
    </row>
    <row r="9">
      <c r="A9" s="5" t="inlineStr">
        <is>
          <t>Max Lab revenue</t>
        </is>
      </c>
      <c r="I9" s="12">
        <f>'Historical KPIs'!H12*(1+'Assumptions'!I10)</f>
        <v/>
      </c>
      <c r="J9" s="12">
        <f>I9*(1+'Assumptions'!J10)</f>
        <v/>
      </c>
      <c r="K9" s="12">
        <f>J9*(1+'Assumptions'!K10)</f>
        <v/>
      </c>
      <c r="L9" s="12">
        <f>K9*(1+'Assumptions'!L10)</f>
        <v/>
      </c>
      <c r="M9" s="12">
        <f>L9*(1+'Assumptions'!M10)</f>
        <v/>
      </c>
      <c r="N9" s="12">
        <f>M9*(1+'Assumptions'!N10)</f>
        <v/>
      </c>
      <c r="O9" s="12">
        <f>N9*(1+'Assumptions'!O10)</f>
        <v/>
      </c>
    </row>
    <row r="10">
      <c r="A10" s="5" t="inlineStr">
        <is>
          <t>Max@Home revenue</t>
        </is>
      </c>
      <c r="I10" s="12">
        <f>'Historical KPIs'!H13*(1+'Assumptions'!I11)</f>
        <v/>
      </c>
      <c r="J10" s="12">
        <f>I10*(1+'Assumptions'!J11)</f>
        <v/>
      </c>
      <c r="K10" s="12">
        <f>J10*(1+'Assumptions'!K11)</f>
        <v/>
      </c>
      <c r="L10" s="12">
        <f>K10*(1+'Assumptions'!L11)</f>
        <v/>
      </c>
      <c r="M10" s="12">
        <f>L10*(1+'Assumptions'!M11)</f>
        <v/>
      </c>
      <c r="N10" s="12">
        <f>M10*(1+'Assumptions'!N11)</f>
        <v/>
      </c>
      <c r="O10" s="12">
        <f>N10*(1+'Assumptions'!O11)</f>
        <v/>
      </c>
    </row>
    <row r="11">
      <c r="A11" s="5" t="inlineStr">
        <is>
          <t>Other operating revenue</t>
        </is>
      </c>
      <c r="I11" s="12">
        <f>'Assumptions'!I12</f>
        <v/>
      </c>
      <c r="J11" s="12">
        <f>'Assumptions'!J12</f>
        <v/>
      </c>
      <c r="K11" s="12">
        <f>'Assumptions'!K12</f>
        <v/>
      </c>
      <c r="L11" s="12">
        <f>'Assumptions'!L12</f>
        <v/>
      </c>
      <c r="M11" s="12">
        <f>'Assumptions'!M12</f>
        <v/>
      </c>
      <c r="N11" s="12">
        <f>'Assumptions'!N12</f>
        <v/>
      </c>
      <c r="O11" s="12">
        <f>'Assumptions'!O12</f>
        <v/>
      </c>
    </row>
    <row r="12">
      <c r="A12" s="22" t="inlineStr">
        <is>
          <t>Total revenue from operations</t>
        </is>
      </c>
      <c r="I12" s="23">
        <f>I8+I9+I10+I11</f>
        <v/>
      </c>
      <c r="J12" s="23">
        <f>J8+J9+J10+J11</f>
        <v/>
      </c>
      <c r="K12" s="23">
        <f>K8+K9+K10+K11</f>
        <v/>
      </c>
      <c r="L12" s="23">
        <f>L8+L9+L10+L11</f>
        <v/>
      </c>
      <c r="M12" s="23">
        <f>M8+M9+M10+M11</f>
        <v/>
      </c>
      <c r="N12" s="23">
        <f>N8+N9+N10+N11</f>
        <v/>
      </c>
      <c r="O12" s="23">
        <f>O8+O9+O10+O11</f>
        <v/>
      </c>
    </row>
    <row r="13">
      <c r="A13" s="5" t="inlineStr">
        <is>
          <t>Revenue growth %</t>
        </is>
      </c>
      <c r="I13" s="9">
        <f>I12/'Historical P&amp;L'!H5-1</f>
        <v/>
      </c>
      <c r="J13" s="24">
        <f>J12/I12-1</f>
        <v/>
      </c>
      <c r="K13" s="24">
        <f>K12/J12-1</f>
        <v/>
      </c>
      <c r="L13" s="24">
        <f>L12/K12-1</f>
        <v/>
      </c>
      <c r="M13" s="24">
        <f>M12/L12-1</f>
        <v/>
      </c>
      <c r="N13" s="24">
        <f>N12/M12-1</f>
        <v/>
      </c>
      <c r="O13" s="24">
        <f>O12/N12-1</f>
        <v/>
      </c>
    </row>
    <row r="14">
      <c r="A14" s="41" t="inlineStr">
        <is>
          <t>Calibration check vs FY26A reported:</t>
        </is>
      </c>
    </row>
    <row r="15">
      <c r="A15" s="5" t="inlineStr">
        <is>
          <t xml:space="preserve">   FY26 build hospital rev (memo)</t>
        </is>
      </c>
      <c r="H15" s="12">
        <f>'Historical KPIs'!H7*'Historical KPIs'!H9*1000*365/10000000</f>
        <v/>
      </c>
    </row>
    <row r="16">
      <c r="A16" s="28" t="inlineStr">
        <is>
          <t>FY26 build hospital revenue ~Rs7,956 Cr vs reported total Rs8,373 Cr less Max Lab (201) &amp; Max@Home (263) = ~Rs7,909 Cr hospital+pharmacy; +0.6% variance (grossing/eliminations). Consolidated statutory revenue used in Integrated Model.</t>
        </is>
      </c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12.  DIRECT COST &amp; ANALYTICAL GROSS PROFIT BUILD</t>
        </is>
      </c>
    </row>
    <row r="3">
      <c r="A3" s="15" t="inlineStr">
        <is>
          <t>Methodology: Analytical Gross Profit = Revenue - Direct operating cost (drugs, consumables &amp; implants, net of inventory change). Company does not report a conventional gross profit line.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5" t="inlineStr">
        <is>
          <t>Revenue from operations</t>
        </is>
      </c>
      <c r="B5" s="12">
        <f>'Historical P&amp;L'!B5</f>
        <v/>
      </c>
      <c r="C5" s="12">
        <f>'Historical P&amp;L'!C5</f>
        <v/>
      </c>
      <c r="D5" s="12">
        <f>'Historical P&amp;L'!D5</f>
        <v/>
      </c>
      <c r="E5" s="12">
        <f>'Historical P&amp;L'!E5</f>
        <v/>
      </c>
      <c r="F5" s="12">
        <f>'Historical P&amp;L'!F5</f>
        <v/>
      </c>
      <c r="G5" s="12">
        <f>'Historical P&amp;L'!G5</f>
        <v/>
      </c>
      <c r="H5" s="12">
        <f>'Historical P&amp;L'!H5</f>
        <v/>
      </c>
      <c r="I5" s="12">
        <f>'Revenue Build'!I12</f>
        <v/>
      </c>
      <c r="J5" s="12">
        <f>'Revenue Build'!J12</f>
        <v/>
      </c>
      <c r="K5" s="12">
        <f>'Revenue Build'!K12</f>
        <v/>
      </c>
      <c r="L5" s="12">
        <f>'Revenue Build'!L12</f>
        <v/>
      </c>
      <c r="M5" s="12">
        <f>'Revenue Build'!M12</f>
        <v/>
      </c>
      <c r="N5" s="12">
        <f>'Revenue Build'!N12</f>
        <v/>
      </c>
      <c r="O5" s="12">
        <f>'Revenue Build'!O12</f>
        <v/>
      </c>
    </row>
    <row r="6">
      <c r="A6" s="5" t="inlineStr">
        <is>
          <t>Direct cost % of revenue</t>
        </is>
      </c>
      <c r="B6" s="9">
        <f>'Historical P&amp;L'!B25/'Historical P&amp;L'!B5</f>
        <v/>
      </c>
      <c r="C6" s="9">
        <f>'Historical P&amp;L'!C25/'Historical P&amp;L'!C5</f>
        <v/>
      </c>
      <c r="D6" s="9">
        <f>'Historical P&amp;L'!D25/'Historical P&amp;L'!D5</f>
        <v/>
      </c>
      <c r="E6" s="9">
        <f>'Historical P&amp;L'!E25/'Historical P&amp;L'!E5</f>
        <v/>
      </c>
      <c r="F6" s="9">
        <f>'Historical P&amp;L'!F25/'Historical P&amp;L'!F5</f>
        <v/>
      </c>
      <c r="G6" s="9">
        <f>'Historical P&amp;L'!G25/'Historical P&amp;L'!G5</f>
        <v/>
      </c>
      <c r="H6" s="9">
        <f>'Historical P&amp;L'!H25/'Historical P&amp;L'!H5</f>
        <v/>
      </c>
      <c r="I6" s="9">
        <f>'Assumptions'!I15</f>
        <v/>
      </c>
      <c r="J6" s="9">
        <f>'Assumptions'!J15</f>
        <v/>
      </c>
      <c r="K6" s="9">
        <f>'Assumptions'!K15</f>
        <v/>
      </c>
      <c r="L6" s="9">
        <f>'Assumptions'!L15</f>
        <v/>
      </c>
      <c r="M6" s="9">
        <f>'Assumptions'!M15</f>
        <v/>
      </c>
      <c r="N6" s="9">
        <f>'Assumptions'!N15</f>
        <v/>
      </c>
      <c r="O6" s="9">
        <f>'Assumptions'!O15</f>
        <v/>
      </c>
    </row>
    <row r="7">
      <c r="A7" s="5" t="inlineStr">
        <is>
          <t>Direct cost (drugs/consumables, net)</t>
        </is>
      </c>
      <c r="B7" s="12">
        <f>'Historical P&amp;L'!B25</f>
        <v/>
      </c>
      <c r="C7" s="12">
        <f>'Historical P&amp;L'!C25</f>
        <v/>
      </c>
      <c r="D7" s="12">
        <f>'Historical P&amp;L'!D25</f>
        <v/>
      </c>
      <c r="E7" s="12">
        <f>'Historical P&amp;L'!E25</f>
        <v/>
      </c>
      <c r="F7" s="12">
        <f>'Historical P&amp;L'!F25</f>
        <v/>
      </c>
      <c r="G7" s="12">
        <f>'Historical P&amp;L'!G25</f>
        <v/>
      </c>
      <c r="H7" s="12">
        <f>'Historical P&amp;L'!H25</f>
        <v/>
      </c>
      <c r="I7" s="21">
        <f>I5*I6</f>
        <v/>
      </c>
      <c r="J7" s="21">
        <f>J5*J6</f>
        <v/>
      </c>
      <c r="K7" s="21">
        <f>K5*K6</f>
        <v/>
      </c>
      <c r="L7" s="21">
        <f>L5*L6</f>
        <v/>
      </c>
      <c r="M7" s="21">
        <f>M5*M6</f>
        <v/>
      </c>
      <c r="N7" s="21">
        <f>N5*N6</f>
        <v/>
      </c>
      <c r="O7" s="21">
        <f>O5*O6</f>
        <v/>
      </c>
    </row>
    <row r="8">
      <c r="A8" s="22" t="inlineStr">
        <is>
          <t>Analytical Gross Profit</t>
        </is>
      </c>
      <c r="B8" s="23">
        <f>B5-B7</f>
        <v/>
      </c>
      <c r="C8" s="23">
        <f>C5-C7</f>
        <v/>
      </c>
      <c r="D8" s="23">
        <f>D5-D7</f>
        <v/>
      </c>
      <c r="E8" s="23">
        <f>E5-E7</f>
        <v/>
      </c>
      <c r="F8" s="23">
        <f>F5-F7</f>
        <v/>
      </c>
      <c r="G8" s="23">
        <f>G5-G7</f>
        <v/>
      </c>
      <c r="H8" s="23">
        <f>H5-H7</f>
        <v/>
      </c>
      <c r="I8" s="23">
        <f>I5-I7</f>
        <v/>
      </c>
      <c r="J8" s="23">
        <f>J5-J7</f>
        <v/>
      </c>
      <c r="K8" s="23">
        <f>K5-K7</f>
        <v/>
      </c>
      <c r="L8" s="23">
        <f>L5-L7</f>
        <v/>
      </c>
      <c r="M8" s="23">
        <f>M5-M7</f>
        <v/>
      </c>
      <c r="N8" s="23">
        <f>N5-N7</f>
        <v/>
      </c>
      <c r="O8" s="23">
        <f>O5-O7</f>
        <v/>
      </c>
    </row>
    <row r="9">
      <c r="A9" s="4" t="inlineStr">
        <is>
          <t>Analytical Gross Margin %</t>
        </is>
      </c>
      <c r="B9" s="42">
        <f>B8/B5</f>
        <v/>
      </c>
      <c r="C9" s="42">
        <f>C8/C5</f>
        <v/>
      </c>
      <c r="D9" s="42">
        <f>D8/D5</f>
        <v/>
      </c>
      <c r="E9" s="42">
        <f>E8/E5</f>
        <v/>
      </c>
      <c r="F9" s="42">
        <f>F8/F5</f>
        <v/>
      </c>
      <c r="G9" s="42">
        <f>G8/G5</f>
        <v/>
      </c>
      <c r="H9" s="42">
        <f>H8/H5</f>
        <v/>
      </c>
      <c r="I9" s="42">
        <f>I8/I5</f>
        <v/>
      </c>
      <c r="J9" s="42">
        <f>J8/J5</f>
        <v/>
      </c>
      <c r="K9" s="42">
        <f>K8/K5</f>
        <v/>
      </c>
      <c r="L9" s="42">
        <f>L8/L5</f>
        <v/>
      </c>
      <c r="M9" s="42">
        <f>M8/M5</f>
        <v/>
      </c>
      <c r="N9" s="42">
        <f>N8/N5</f>
        <v/>
      </c>
      <c r="O9" s="42">
        <f>O8/O5</f>
        <v/>
      </c>
    </row>
  </sheetData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13.  OPERATING EXPENSE BUILD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5" t="inlineStr">
        <is>
          <t>Revenue from operations</t>
        </is>
      </c>
      <c r="B5" s="12">
        <f>'Historical P&amp;L'!B5</f>
        <v/>
      </c>
      <c r="C5" s="12">
        <f>'Historical P&amp;L'!C5</f>
        <v/>
      </c>
      <c r="D5" s="12">
        <f>'Historical P&amp;L'!D5</f>
        <v/>
      </c>
      <c r="E5" s="12">
        <f>'Historical P&amp;L'!E5</f>
        <v/>
      </c>
      <c r="F5" s="12">
        <f>'Historical P&amp;L'!F5</f>
        <v/>
      </c>
      <c r="G5" s="12">
        <f>'Historical P&amp;L'!G5</f>
        <v/>
      </c>
      <c r="H5" s="12">
        <f>'Historical P&amp;L'!H5</f>
        <v/>
      </c>
      <c r="I5" s="12">
        <f>'Revenue Build'!I12</f>
        <v/>
      </c>
      <c r="J5" s="12">
        <f>'Revenue Build'!J12</f>
        <v/>
      </c>
      <c r="K5" s="12">
        <f>'Revenue Build'!K12</f>
        <v/>
      </c>
      <c r="L5" s="12">
        <f>'Revenue Build'!L12</f>
        <v/>
      </c>
      <c r="M5" s="12">
        <f>'Revenue Build'!M12</f>
        <v/>
      </c>
      <c r="N5" s="12">
        <f>'Revenue Build'!N12</f>
        <v/>
      </c>
      <c r="O5" s="12">
        <f>'Revenue Build'!O12</f>
        <v/>
      </c>
    </row>
    <row r="6">
      <c r="A6" s="5" t="inlineStr">
        <is>
          <t>Employee benefits expense % of revenue</t>
        </is>
      </c>
      <c r="B6" s="9">
        <f>'Historical P&amp;L'!B11/'Historical P&amp;L'!B5</f>
        <v/>
      </c>
      <c r="C6" s="9">
        <f>'Historical P&amp;L'!C11/'Historical P&amp;L'!C5</f>
        <v/>
      </c>
      <c r="D6" s="9">
        <f>'Historical P&amp;L'!D11/'Historical P&amp;L'!D5</f>
        <v/>
      </c>
      <c r="E6" s="9">
        <f>'Historical P&amp;L'!E11/'Historical P&amp;L'!E5</f>
        <v/>
      </c>
      <c r="F6" s="9">
        <f>'Historical P&amp;L'!F11/'Historical P&amp;L'!F5</f>
        <v/>
      </c>
      <c r="G6" s="9">
        <f>'Historical P&amp;L'!G11/'Historical P&amp;L'!G5</f>
        <v/>
      </c>
      <c r="H6" s="9">
        <f>'Historical P&amp;L'!H11/'Historical P&amp;L'!H5</f>
        <v/>
      </c>
      <c r="I6" s="9">
        <f>'Assumptions'!I16</f>
        <v/>
      </c>
      <c r="J6" s="9">
        <f>'Assumptions'!J16</f>
        <v/>
      </c>
      <c r="K6" s="9">
        <f>'Assumptions'!K16</f>
        <v/>
      </c>
      <c r="L6" s="9">
        <f>'Assumptions'!L16</f>
        <v/>
      </c>
      <c r="M6" s="9">
        <f>'Assumptions'!M16</f>
        <v/>
      </c>
      <c r="N6" s="9">
        <f>'Assumptions'!N16</f>
        <v/>
      </c>
      <c r="O6" s="9">
        <f>'Assumptions'!O16</f>
        <v/>
      </c>
    </row>
    <row r="7">
      <c r="A7" s="5" t="inlineStr">
        <is>
          <t>Employee benefits expense</t>
        </is>
      </c>
      <c r="B7" s="12">
        <f>'Historical P&amp;L'!B11</f>
        <v/>
      </c>
      <c r="C7" s="12">
        <f>'Historical P&amp;L'!C11</f>
        <v/>
      </c>
      <c r="D7" s="12">
        <f>'Historical P&amp;L'!D11</f>
        <v/>
      </c>
      <c r="E7" s="12">
        <f>'Historical P&amp;L'!E11</f>
        <v/>
      </c>
      <c r="F7" s="12">
        <f>'Historical P&amp;L'!F11</f>
        <v/>
      </c>
      <c r="G7" s="12">
        <f>'Historical P&amp;L'!G11</f>
        <v/>
      </c>
      <c r="H7" s="12">
        <f>'Historical P&amp;L'!H11</f>
        <v/>
      </c>
      <c r="I7" s="21">
        <f>I5*I6</f>
        <v/>
      </c>
      <c r="J7" s="21">
        <f>J5*J6</f>
        <v/>
      </c>
      <c r="K7" s="21">
        <f>K5*K6</f>
        <v/>
      </c>
      <c r="L7" s="21">
        <f>L5*L6</f>
        <v/>
      </c>
      <c r="M7" s="21">
        <f>M5*M6</f>
        <v/>
      </c>
      <c r="N7" s="21">
        <f>N5*N6</f>
        <v/>
      </c>
      <c r="O7" s="21">
        <f>O5*O6</f>
        <v/>
      </c>
    </row>
    <row r="8">
      <c r="A8" s="5" t="inlineStr">
        <is>
          <t>Professional &amp; consultancy fee % of revenue</t>
        </is>
      </c>
      <c r="B8" s="9">
        <f>'Historical P&amp;L'!B12/'Historical P&amp;L'!B5</f>
        <v/>
      </c>
      <c r="C8" s="9">
        <f>'Historical P&amp;L'!C12/'Historical P&amp;L'!C5</f>
        <v/>
      </c>
      <c r="D8" s="9">
        <f>'Historical P&amp;L'!D12/'Historical P&amp;L'!D5</f>
        <v/>
      </c>
      <c r="E8" s="9">
        <f>'Historical P&amp;L'!E12/'Historical P&amp;L'!E5</f>
        <v/>
      </c>
      <c r="F8" s="9">
        <f>'Historical P&amp;L'!F12/'Historical P&amp;L'!F5</f>
        <v/>
      </c>
      <c r="G8" s="9">
        <f>'Historical P&amp;L'!G12/'Historical P&amp;L'!G5</f>
        <v/>
      </c>
      <c r="H8" s="9">
        <f>'Historical P&amp;L'!H12/'Historical P&amp;L'!H5</f>
        <v/>
      </c>
      <c r="I8" s="9">
        <f>'Assumptions'!I17</f>
        <v/>
      </c>
      <c r="J8" s="9">
        <f>'Assumptions'!J17</f>
        <v/>
      </c>
      <c r="K8" s="9">
        <f>'Assumptions'!K17</f>
        <v/>
      </c>
      <c r="L8" s="9">
        <f>'Assumptions'!L17</f>
        <v/>
      </c>
      <c r="M8" s="9">
        <f>'Assumptions'!M17</f>
        <v/>
      </c>
      <c r="N8" s="9">
        <f>'Assumptions'!N17</f>
        <v/>
      </c>
      <c r="O8" s="9">
        <f>'Assumptions'!O17</f>
        <v/>
      </c>
    </row>
    <row r="9">
      <c r="A9" s="5" t="inlineStr">
        <is>
          <t>Professional &amp; consultancy fee</t>
        </is>
      </c>
      <c r="B9" s="12">
        <f>'Historical P&amp;L'!B12</f>
        <v/>
      </c>
      <c r="C9" s="12">
        <f>'Historical P&amp;L'!C12</f>
        <v/>
      </c>
      <c r="D9" s="12">
        <f>'Historical P&amp;L'!D12</f>
        <v/>
      </c>
      <c r="E9" s="12">
        <f>'Historical P&amp;L'!E12</f>
        <v/>
      </c>
      <c r="F9" s="12">
        <f>'Historical P&amp;L'!F12</f>
        <v/>
      </c>
      <c r="G9" s="12">
        <f>'Historical P&amp;L'!G12</f>
        <v/>
      </c>
      <c r="H9" s="12">
        <f>'Historical P&amp;L'!H12</f>
        <v/>
      </c>
      <c r="I9" s="21">
        <f>I5*I8</f>
        <v/>
      </c>
      <c r="J9" s="21">
        <f>J5*J8</f>
        <v/>
      </c>
      <c r="K9" s="21">
        <f>K5*K8</f>
        <v/>
      </c>
      <c r="L9" s="21">
        <f>L5*L8</f>
        <v/>
      </c>
      <c r="M9" s="21">
        <f>M5*M8</f>
        <v/>
      </c>
      <c r="N9" s="21">
        <f>N5*N8</f>
        <v/>
      </c>
      <c r="O9" s="21">
        <f>O5*O8</f>
        <v/>
      </c>
    </row>
    <row r="10">
      <c r="A10" s="5" t="inlineStr">
        <is>
          <t>Other operating expenses % of revenue</t>
        </is>
      </c>
      <c r="B10" s="9">
        <f>'Historical P&amp;L'!B13/'Historical P&amp;L'!B5</f>
        <v/>
      </c>
      <c r="C10" s="9">
        <f>'Historical P&amp;L'!C13/'Historical P&amp;L'!C5</f>
        <v/>
      </c>
      <c r="D10" s="9">
        <f>'Historical P&amp;L'!D13/'Historical P&amp;L'!D5</f>
        <v/>
      </c>
      <c r="E10" s="9">
        <f>'Historical P&amp;L'!E13/'Historical P&amp;L'!E5</f>
        <v/>
      </c>
      <c r="F10" s="9">
        <f>'Historical P&amp;L'!F13/'Historical P&amp;L'!F5</f>
        <v/>
      </c>
      <c r="G10" s="9">
        <f>'Historical P&amp;L'!G13/'Historical P&amp;L'!G5</f>
        <v/>
      </c>
      <c r="H10" s="9">
        <f>'Historical P&amp;L'!H13/'Historical P&amp;L'!H5</f>
        <v/>
      </c>
      <c r="I10" s="9">
        <f>'Assumptions'!I18</f>
        <v/>
      </c>
      <c r="J10" s="9">
        <f>'Assumptions'!J18</f>
        <v/>
      </c>
      <c r="K10" s="9">
        <f>'Assumptions'!K18</f>
        <v/>
      </c>
      <c r="L10" s="9">
        <f>'Assumptions'!L18</f>
        <v/>
      </c>
      <c r="M10" s="9">
        <f>'Assumptions'!M18</f>
        <v/>
      </c>
      <c r="N10" s="9">
        <f>'Assumptions'!N18</f>
        <v/>
      </c>
      <c r="O10" s="9">
        <f>'Assumptions'!O18</f>
        <v/>
      </c>
    </row>
    <row r="11">
      <c r="A11" s="5" t="inlineStr">
        <is>
          <t>Other operating expenses</t>
        </is>
      </c>
      <c r="B11" s="12">
        <f>'Historical P&amp;L'!B13</f>
        <v/>
      </c>
      <c r="C11" s="12">
        <f>'Historical P&amp;L'!C13</f>
        <v/>
      </c>
      <c r="D11" s="12">
        <f>'Historical P&amp;L'!D13</f>
        <v/>
      </c>
      <c r="E11" s="12">
        <f>'Historical P&amp;L'!E13</f>
        <v/>
      </c>
      <c r="F11" s="12">
        <f>'Historical P&amp;L'!F13</f>
        <v/>
      </c>
      <c r="G11" s="12">
        <f>'Historical P&amp;L'!G13</f>
        <v/>
      </c>
      <c r="H11" s="12">
        <f>'Historical P&amp;L'!H13</f>
        <v/>
      </c>
      <c r="I11" s="21">
        <f>I5*I10</f>
        <v/>
      </c>
      <c r="J11" s="21">
        <f>J5*J10</f>
        <v/>
      </c>
      <c r="K11" s="21">
        <f>K5*K10</f>
        <v/>
      </c>
      <c r="L11" s="21">
        <f>L5*L10</f>
        <v/>
      </c>
      <c r="M11" s="21">
        <f>M5*M10</f>
        <v/>
      </c>
      <c r="N11" s="21">
        <f>N5*N10</f>
        <v/>
      </c>
      <c r="O11" s="21">
        <f>O5*O10</f>
        <v/>
      </c>
    </row>
    <row r="12">
      <c r="A12" s="22" t="inlineStr">
        <is>
          <t>Total operating expenses (excl. direct)</t>
        </is>
      </c>
      <c r="B12" s="23">
        <f>B7+B9+B11</f>
        <v/>
      </c>
      <c r="C12" s="23">
        <f>C7+C9+C11</f>
        <v/>
      </c>
      <c r="D12" s="23">
        <f>D7+D9+D11</f>
        <v/>
      </c>
      <c r="E12" s="23">
        <f>E7+E9+E11</f>
        <v/>
      </c>
      <c r="F12" s="23">
        <f>F7+F9+F11</f>
        <v/>
      </c>
      <c r="G12" s="23">
        <f>G7+G9+G11</f>
        <v/>
      </c>
      <c r="H12" s="23">
        <f>H7+H9+H11</f>
        <v/>
      </c>
      <c r="I12" s="23">
        <f>I7+I9+I11</f>
        <v/>
      </c>
      <c r="J12" s="23">
        <f>J7+J9+J11</f>
        <v/>
      </c>
      <c r="K12" s="23">
        <f>K7+K9+K11</f>
        <v/>
      </c>
      <c r="L12" s="23">
        <f>L7+L9+L11</f>
        <v/>
      </c>
      <c r="M12" s="23">
        <f>M7+M9+M11</f>
        <v/>
      </c>
      <c r="N12" s="23">
        <f>N7+N9+N11</f>
        <v/>
      </c>
      <c r="O12" s="23">
        <f>O7+O9+O11</f>
        <v/>
      </c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14.  EBITDA BRIDGE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4" t="inlineStr">
        <is>
          <t>Revenue from operations</t>
        </is>
      </c>
      <c r="B5" s="43">
        <f>'Historical P&amp;L'!B5</f>
        <v/>
      </c>
      <c r="C5" s="43">
        <f>'Historical P&amp;L'!C5</f>
        <v/>
      </c>
      <c r="D5" s="43">
        <f>'Historical P&amp;L'!D5</f>
        <v/>
      </c>
      <c r="E5" s="43">
        <f>'Historical P&amp;L'!E5</f>
        <v/>
      </c>
      <c r="F5" s="43">
        <f>'Historical P&amp;L'!F5</f>
        <v/>
      </c>
      <c r="G5" s="43">
        <f>'Historical P&amp;L'!G5</f>
        <v/>
      </c>
      <c r="H5" s="43">
        <f>'Historical P&amp;L'!H5</f>
        <v/>
      </c>
      <c r="I5" s="43">
        <f>'Revenue Build'!I12</f>
        <v/>
      </c>
      <c r="J5" s="43">
        <f>'Revenue Build'!J12</f>
        <v/>
      </c>
      <c r="K5" s="43">
        <f>'Revenue Build'!K12</f>
        <v/>
      </c>
      <c r="L5" s="43">
        <f>'Revenue Build'!L12</f>
        <v/>
      </c>
      <c r="M5" s="43">
        <f>'Revenue Build'!M12</f>
        <v/>
      </c>
      <c r="N5" s="43">
        <f>'Revenue Build'!N12</f>
        <v/>
      </c>
      <c r="O5" s="43">
        <f>'Revenue Build'!O12</f>
        <v/>
      </c>
    </row>
    <row r="6">
      <c r="A6" s="5" t="inlineStr">
        <is>
          <t>Less: Direct cost</t>
        </is>
      </c>
      <c r="B6" s="12">
        <f>-'Direct Cost GP'!B7</f>
        <v/>
      </c>
      <c r="C6" s="12">
        <f>-'Direct Cost GP'!C7</f>
        <v/>
      </c>
      <c r="D6" s="12">
        <f>-'Direct Cost GP'!D7</f>
        <v/>
      </c>
      <c r="E6" s="12">
        <f>-'Direct Cost GP'!E7</f>
        <v/>
      </c>
      <c r="F6" s="12">
        <f>-'Direct Cost GP'!F7</f>
        <v/>
      </c>
      <c r="G6" s="12">
        <f>-'Direct Cost GP'!G7</f>
        <v/>
      </c>
      <c r="H6" s="12">
        <f>-'Direct Cost GP'!H7</f>
        <v/>
      </c>
      <c r="I6" s="12">
        <f>-'Direct Cost GP'!I7</f>
        <v/>
      </c>
      <c r="J6" s="12">
        <f>-'Direct Cost GP'!J7</f>
        <v/>
      </c>
      <c r="K6" s="12">
        <f>-'Direct Cost GP'!K7</f>
        <v/>
      </c>
      <c r="L6" s="12">
        <f>-'Direct Cost GP'!L7</f>
        <v/>
      </c>
      <c r="M6" s="12">
        <f>-'Direct Cost GP'!M7</f>
        <v/>
      </c>
      <c r="N6" s="12">
        <f>-'Direct Cost GP'!N7</f>
        <v/>
      </c>
      <c r="O6" s="12">
        <f>-'Direct Cost GP'!O7</f>
        <v/>
      </c>
    </row>
    <row r="7">
      <c r="A7" s="4" t="inlineStr">
        <is>
          <t>Analytical Gross Profit</t>
        </is>
      </c>
      <c r="B7" s="43">
        <f>'Direct Cost GP'!B8</f>
        <v/>
      </c>
      <c r="C7" s="43">
        <f>'Direct Cost GP'!C8</f>
        <v/>
      </c>
      <c r="D7" s="43">
        <f>'Direct Cost GP'!D8</f>
        <v/>
      </c>
      <c r="E7" s="43">
        <f>'Direct Cost GP'!E8</f>
        <v/>
      </c>
      <c r="F7" s="43">
        <f>'Direct Cost GP'!F8</f>
        <v/>
      </c>
      <c r="G7" s="43">
        <f>'Direct Cost GP'!G8</f>
        <v/>
      </c>
      <c r="H7" s="43">
        <f>'Direct Cost GP'!H8</f>
        <v/>
      </c>
      <c r="I7" s="43">
        <f>'Direct Cost GP'!I8</f>
        <v/>
      </c>
      <c r="J7" s="43">
        <f>'Direct Cost GP'!J8</f>
        <v/>
      </c>
      <c r="K7" s="43">
        <f>'Direct Cost GP'!K8</f>
        <v/>
      </c>
      <c r="L7" s="43">
        <f>'Direct Cost GP'!L8</f>
        <v/>
      </c>
      <c r="M7" s="43">
        <f>'Direct Cost GP'!M8</f>
        <v/>
      </c>
      <c r="N7" s="43">
        <f>'Direct Cost GP'!N8</f>
        <v/>
      </c>
      <c r="O7" s="43">
        <f>'Direct Cost GP'!O8</f>
        <v/>
      </c>
    </row>
    <row r="8">
      <c r="A8" s="5" t="inlineStr">
        <is>
          <t>Less: Employee cost</t>
        </is>
      </c>
      <c r="B8" s="12">
        <f>-'Opex Build'!B7</f>
        <v/>
      </c>
      <c r="C8" s="12">
        <f>-'Opex Build'!C7</f>
        <v/>
      </c>
      <c r="D8" s="12">
        <f>-'Opex Build'!D7</f>
        <v/>
      </c>
      <c r="E8" s="12">
        <f>-'Opex Build'!E7</f>
        <v/>
      </c>
      <c r="F8" s="12">
        <f>-'Opex Build'!F7</f>
        <v/>
      </c>
      <c r="G8" s="12">
        <f>-'Opex Build'!G7</f>
        <v/>
      </c>
      <c r="H8" s="12">
        <f>-'Opex Build'!H7</f>
        <v/>
      </c>
      <c r="I8" s="12">
        <f>-'Opex Build'!I7</f>
        <v/>
      </c>
      <c r="J8" s="12">
        <f>-'Opex Build'!J7</f>
        <v/>
      </c>
      <c r="K8" s="12">
        <f>-'Opex Build'!K7</f>
        <v/>
      </c>
      <c r="L8" s="12">
        <f>-'Opex Build'!L7</f>
        <v/>
      </c>
      <c r="M8" s="12">
        <f>-'Opex Build'!M7</f>
        <v/>
      </c>
      <c r="N8" s="12">
        <f>-'Opex Build'!N7</f>
        <v/>
      </c>
      <c r="O8" s="12">
        <f>-'Opex Build'!O7</f>
        <v/>
      </c>
    </row>
    <row r="9">
      <c r="A9" s="5" t="inlineStr">
        <is>
          <t>Less: Professional &amp; consultancy fee</t>
        </is>
      </c>
      <c r="B9" s="12">
        <f>-'Opex Build'!B9</f>
        <v/>
      </c>
      <c r="C9" s="12">
        <f>-'Opex Build'!C9</f>
        <v/>
      </c>
      <c r="D9" s="12">
        <f>-'Opex Build'!D9</f>
        <v/>
      </c>
      <c r="E9" s="12">
        <f>-'Opex Build'!E9</f>
        <v/>
      </c>
      <c r="F9" s="12">
        <f>-'Opex Build'!F9</f>
        <v/>
      </c>
      <c r="G9" s="12">
        <f>-'Opex Build'!G9</f>
        <v/>
      </c>
      <c r="H9" s="12">
        <f>-'Opex Build'!H9</f>
        <v/>
      </c>
      <c r="I9" s="12">
        <f>-'Opex Build'!I9</f>
        <v/>
      </c>
      <c r="J9" s="12">
        <f>-'Opex Build'!J9</f>
        <v/>
      </c>
      <c r="K9" s="12">
        <f>-'Opex Build'!K9</f>
        <v/>
      </c>
      <c r="L9" s="12">
        <f>-'Opex Build'!L9</f>
        <v/>
      </c>
      <c r="M9" s="12">
        <f>-'Opex Build'!M9</f>
        <v/>
      </c>
      <c r="N9" s="12">
        <f>-'Opex Build'!N9</f>
        <v/>
      </c>
      <c r="O9" s="12">
        <f>-'Opex Build'!O9</f>
        <v/>
      </c>
    </row>
    <row r="10">
      <c r="A10" s="5" t="inlineStr">
        <is>
          <t>Less: Other operating expenses</t>
        </is>
      </c>
      <c r="B10" s="12">
        <f>-'Opex Build'!B11</f>
        <v/>
      </c>
      <c r="C10" s="12">
        <f>-'Opex Build'!C11</f>
        <v/>
      </c>
      <c r="D10" s="12">
        <f>-'Opex Build'!D11</f>
        <v/>
      </c>
      <c r="E10" s="12">
        <f>-'Opex Build'!E11</f>
        <v/>
      </c>
      <c r="F10" s="12">
        <f>-'Opex Build'!F11</f>
        <v/>
      </c>
      <c r="G10" s="12">
        <f>-'Opex Build'!G11</f>
        <v/>
      </c>
      <c r="H10" s="12">
        <f>-'Opex Build'!H11</f>
        <v/>
      </c>
      <c r="I10" s="12">
        <f>-'Opex Build'!I11</f>
        <v/>
      </c>
      <c r="J10" s="12">
        <f>-'Opex Build'!J11</f>
        <v/>
      </c>
      <c r="K10" s="12">
        <f>-'Opex Build'!K11</f>
        <v/>
      </c>
      <c r="L10" s="12">
        <f>-'Opex Build'!L11</f>
        <v/>
      </c>
      <c r="M10" s="12">
        <f>-'Opex Build'!M11</f>
        <v/>
      </c>
      <c r="N10" s="12">
        <f>-'Opex Build'!N11</f>
        <v/>
      </c>
      <c r="O10" s="12">
        <f>-'Opex Build'!O11</f>
        <v/>
      </c>
    </row>
    <row r="11">
      <c r="A11" s="22" t="inlineStr">
        <is>
          <t>EBITDA (excl. other income)</t>
        </is>
      </c>
      <c r="B11" s="23">
        <f>B7+B8+B9+B10</f>
        <v/>
      </c>
      <c r="C11" s="23">
        <f>C7+C8+C9+C10</f>
        <v/>
      </c>
      <c r="D11" s="23">
        <f>D7+D8+D9+D10</f>
        <v/>
      </c>
      <c r="E11" s="23">
        <f>E7+E8+E9+E10</f>
        <v/>
      </c>
      <c r="F11" s="23">
        <f>F7+F8+F9+F10</f>
        <v/>
      </c>
      <c r="G11" s="23">
        <f>G7+G8+G9+G10</f>
        <v/>
      </c>
      <c r="H11" s="23">
        <f>H7+H8+H9+H10</f>
        <v/>
      </c>
      <c r="I11" s="23">
        <f>I7+I8+I9+I10</f>
        <v/>
      </c>
      <c r="J11" s="23">
        <f>J7+J8+J9+J10</f>
        <v/>
      </c>
      <c r="K11" s="23">
        <f>K7+K8+K9+K10</f>
        <v/>
      </c>
      <c r="L11" s="23">
        <f>L7+L8+L9+L10</f>
        <v/>
      </c>
      <c r="M11" s="23">
        <f>M7+M8+M9+M10</f>
        <v/>
      </c>
      <c r="N11" s="23">
        <f>N7+N8+N9+N10</f>
        <v/>
      </c>
      <c r="O11" s="23">
        <f>O7+O8+O9+O10</f>
        <v/>
      </c>
    </row>
    <row r="12">
      <c r="A12" s="4" t="inlineStr">
        <is>
          <t>EBITDA margin %</t>
        </is>
      </c>
      <c r="B12" s="42">
        <f>B11/B5</f>
        <v/>
      </c>
      <c r="C12" s="42">
        <f>C11/C5</f>
        <v/>
      </c>
      <c r="D12" s="42">
        <f>D11/D5</f>
        <v/>
      </c>
      <c r="E12" s="42">
        <f>E11/E5</f>
        <v/>
      </c>
      <c r="F12" s="42">
        <f>F11/F5</f>
        <v/>
      </c>
      <c r="G12" s="42">
        <f>G11/G5</f>
        <v/>
      </c>
      <c r="H12" s="42">
        <f>H11/H5</f>
        <v/>
      </c>
      <c r="I12" s="42">
        <f>I11/I5</f>
        <v/>
      </c>
      <c r="J12" s="42">
        <f>J11/J5</f>
        <v/>
      </c>
      <c r="K12" s="42">
        <f>K11/K5</f>
        <v/>
      </c>
      <c r="L12" s="42">
        <f>L11/L5</f>
        <v/>
      </c>
      <c r="M12" s="42">
        <f>M11/M5</f>
        <v/>
      </c>
      <c r="N12" s="42">
        <f>N11/N5</f>
        <v/>
      </c>
      <c r="O12" s="42">
        <f>O11/O5</f>
        <v/>
      </c>
    </row>
    <row r="13">
      <c r="A13" s="5" t="inlineStr">
        <is>
          <t>Add: Other income</t>
        </is>
      </c>
      <c r="B13" s="12">
        <f>'Historical P&amp;L'!B6</f>
        <v/>
      </c>
      <c r="C13" s="12">
        <f>'Historical P&amp;L'!C6</f>
        <v/>
      </c>
      <c r="D13" s="12">
        <f>'Historical P&amp;L'!D6</f>
        <v/>
      </c>
      <c r="E13" s="12">
        <f>'Historical P&amp;L'!E6</f>
        <v/>
      </c>
      <c r="F13" s="12">
        <f>'Historical P&amp;L'!F6</f>
        <v/>
      </c>
      <c r="G13" s="12">
        <f>'Historical P&amp;L'!G6</f>
        <v/>
      </c>
      <c r="H13" s="12">
        <f>'Historical P&amp;L'!H6</f>
        <v/>
      </c>
      <c r="I13" s="12">
        <f>'Revenue Build'!I12*'Assumptions'!I13</f>
        <v/>
      </c>
      <c r="J13" s="12">
        <f>'Revenue Build'!J12*'Assumptions'!J13</f>
        <v/>
      </c>
      <c r="K13" s="12">
        <f>'Revenue Build'!K12*'Assumptions'!K13</f>
        <v/>
      </c>
      <c r="L13" s="12">
        <f>'Revenue Build'!L12*'Assumptions'!L13</f>
        <v/>
      </c>
      <c r="M13" s="12">
        <f>'Revenue Build'!M12*'Assumptions'!M13</f>
        <v/>
      </c>
      <c r="N13" s="12">
        <f>'Revenue Build'!N12*'Assumptions'!N13</f>
        <v/>
      </c>
      <c r="O13" s="12">
        <f>'Revenue Build'!O12*'Assumptions'!O13</f>
        <v/>
      </c>
    </row>
    <row r="14">
      <c r="A14" s="4" t="inlineStr">
        <is>
          <t>PBIDT (EBITDA + other income)</t>
        </is>
      </c>
      <c r="B14" s="18">
        <f>B11+B13</f>
        <v/>
      </c>
      <c r="C14" s="18">
        <f>C11+C13</f>
        <v/>
      </c>
      <c r="D14" s="18">
        <f>D11+D13</f>
        <v/>
      </c>
      <c r="E14" s="18">
        <f>E11+E13</f>
        <v/>
      </c>
      <c r="F14" s="18">
        <f>F11+F13</f>
        <v/>
      </c>
      <c r="G14" s="18">
        <f>G11+G13</f>
        <v/>
      </c>
      <c r="H14" s="18">
        <f>H11+H13</f>
        <v/>
      </c>
      <c r="I14" s="18">
        <f>I11+I13</f>
        <v/>
      </c>
      <c r="J14" s="18">
        <f>J11+J13</f>
        <v/>
      </c>
      <c r="K14" s="18">
        <f>K11+K13</f>
        <v/>
      </c>
      <c r="L14" s="18">
        <f>L11+L13</f>
        <v/>
      </c>
      <c r="M14" s="18">
        <f>M11+M13</f>
        <v/>
      </c>
      <c r="N14" s="18">
        <f>N11+N13</f>
        <v/>
      </c>
      <c r="O14" s="18">
        <f>O11+O13</f>
        <v/>
      </c>
    </row>
  </sheetData>
  <mergeCells count="1">
    <mergeCell ref="A1:O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15.  CAPEX &amp; EXPANSION SCHEDULE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4" t="inlineStr">
        <is>
          <t>Total capex (Rs Cr)</t>
        </is>
      </c>
      <c r="B5" s="43">
        <f>'Historical CF'!B6*-1</f>
        <v/>
      </c>
      <c r="C5" s="43">
        <f>'Historical CF'!C6*-1</f>
        <v/>
      </c>
      <c r="D5" s="43">
        <f>'Historical CF'!D6*-1</f>
        <v/>
      </c>
      <c r="E5" s="43">
        <f>'Historical CF'!E6*-1</f>
        <v/>
      </c>
      <c r="F5" s="43">
        <f>'Historical CF'!F6*-1</f>
        <v/>
      </c>
      <c r="G5" s="43">
        <f>'Historical CF'!G6*-1</f>
        <v/>
      </c>
      <c r="H5" s="43">
        <f>'Historical CF'!H6*-1</f>
        <v/>
      </c>
      <c r="I5" s="43">
        <f>'Assumptions'!I20</f>
        <v/>
      </c>
      <c r="J5" s="43">
        <f>'Assumptions'!J20</f>
        <v/>
      </c>
      <c r="K5" s="43">
        <f>'Assumptions'!K20</f>
        <v/>
      </c>
      <c r="L5" s="43">
        <f>'Assumptions'!L20</f>
        <v/>
      </c>
      <c r="M5" s="43">
        <f>'Assumptions'!M20</f>
        <v/>
      </c>
      <c r="N5" s="43">
        <f>'Assumptions'!N20</f>
        <v/>
      </c>
      <c r="O5" s="43">
        <f>'Assumptions'!O20</f>
        <v/>
      </c>
    </row>
    <row r="6">
      <c r="A6" s="5" t="inlineStr">
        <is>
          <t>Revenue</t>
        </is>
      </c>
      <c r="B6" s="12">
        <f>'Historical P&amp;L'!B5</f>
        <v/>
      </c>
      <c r="C6" s="12">
        <f>'Historical P&amp;L'!C5</f>
        <v/>
      </c>
      <c r="D6" s="12">
        <f>'Historical P&amp;L'!D5</f>
        <v/>
      </c>
      <c r="E6" s="12">
        <f>'Historical P&amp;L'!E5</f>
        <v/>
      </c>
      <c r="F6" s="12">
        <f>'Historical P&amp;L'!F5</f>
        <v/>
      </c>
      <c r="G6" s="12">
        <f>'Historical P&amp;L'!G5</f>
        <v/>
      </c>
      <c r="H6" s="12">
        <f>'Historical P&amp;L'!H5</f>
        <v/>
      </c>
      <c r="I6" s="12">
        <f>'Revenue Build'!I12</f>
        <v/>
      </c>
      <c r="J6" s="12">
        <f>'Revenue Build'!J12</f>
        <v/>
      </c>
      <c r="K6" s="12">
        <f>'Revenue Build'!K12</f>
        <v/>
      </c>
      <c r="L6" s="12">
        <f>'Revenue Build'!L12</f>
        <v/>
      </c>
      <c r="M6" s="12">
        <f>'Revenue Build'!M12</f>
        <v/>
      </c>
      <c r="N6" s="12">
        <f>'Revenue Build'!N12</f>
        <v/>
      </c>
      <c r="O6" s="12">
        <f>'Revenue Build'!O12</f>
        <v/>
      </c>
    </row>
    <row r="7">
      <c r="A7" s="5" t="inlineStr">
        <is>
          <t>Capex / Revenue %</t>
        </is>
      </c>
      <c r="B7" s="24">
        <f>B5/B6</f>
        <v/>
      </c>
      <c r="C7" s="24">
        <f>C5/C6</f>
        <v/>
      </c>
      <c r="D7" s="24">
        <f>D5/D6</f>
        <v/>
      </c>
      <c r="E7" s="24">
        <f>E5/E6</f>
        <v/>
      </c>
      <c r="F7" s="24">
        <f>F5/F6</f>
        <v/>
      </c>
      <c r="G7" s="24">
        <f>G5/G6</f>
        <v/>
      </c>
      <c r="H7" s="24">
        <f>H5/H6</f>
        <v/>
      </c>
      <c r="I7" s="24">
        <f>I5/I6</f>
        <v/>
      </c>
      <c r="J7" s="24">
        <f>J5/J6</f>
        <v/>
      </c>
      <c r="K7" s="24">
        <f>K5/K6</f>
        <v/>
      </c>
      <c r="L7" s="24">
        <f>L5/L6</f>
        <v/>
      </c>
      <c r="M7" s="24">
        <f>M5/M6</f>
        <v/>
      </c>
      <c r="N7" s="24">
        <f>N5/N6</f>
        <v/>
      </c>
      <c r="O7" s="24">
        <f>O5/O6</f>
        <v/>
      </c>
    </row>
    <row r="8">
      <c r="A8" s="5" t="inlineStr">
        <is>
          <t>Beds added (organic+acq)</t>
        </is>
      </c>
      <c r="I8" s="12">
        <f>'Bed Capacity'!I6+'Bed Capacity'!I7</f>
        <v/>
      </c>
      <c r="J8" s="12">
        <f>'Bed Capacity'!J6+'Bed Capacity'!J7</f>
        <v/>
      </c>
      <c r="K8" s="12">
        <f>'Bed Capacity'!K6+'Bed Capacity'!K7</f>
        <v/>
      </c>
      <c r="L8" s="12">
        <f>'Bed Capacity'!L6+'Bed Capacity'!L7</f>
        <v/>
      </c>
      <c r="M8" s="12">
        <f>'Bed Capacity'!M6+'Bed Capacity'!M7</f>
        <v/>
      </c>
      <c r="N8" s="12">
        <f>'Bed Capacity'!N6+'Bed Capacity'!N7</f>
        <v/>
      </c>
      <c r="O8" s="12">
        <f>'Bed Capacity'!O6+'Bed Capacity'!O7</f>
        <v/>
      </c>
    </row>
    <row r="9">
      <c r="A9" s="5" t="inlineStr">
        <is>
          <t>Capex per bed added (Rs Cr)</t>
        </is>
      </c>
      <c r="I9" s="26">
        <f>I5/I8</f>
        <v/>
      </c>
      <c r="J9" s="26">
        <f>J5/J8</f>
        <v/>
      </c>
      <c r="K9" s="26">
        <f>K5/K8</f>
        <v/>
      </c>
      <c r="L9" s="26">
        <f>L5/L8</f>
        <v/>
      </c>
      <c r="M9" s="26">
        <f>M5/M8</f>
        <v/>
      </c>
      <c r="N9" s="26">
        <f>N5/N8</f>
        <v/>
      </c>
      <c r="O9" s="26">
        <f>O5/O8</f>
        <v/>
      </c>
    </row>
    <row r="11">
      <c r="A11" s="28" t="inlineStr">
        <is>
          <t>Pipeline (AR FY26 / Q4FY26 concall): growth capex FY27 Rs1,637 Cr, FY28 Rs2,280 Cr, FY29 Rs1,770 Cr, FY30 Rs985 Cr (ex land &amp; routine). Model adds ~4% maintenance capex + land.</t>
        </is>
      </c>
    </row>
  </sheetData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16.  PPE &amp; DEPRECIATION SCHEDULE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19" t="inlineStr">
        <is>
          <t>Property, plant &amp; equipment (net)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A6" s="5" t="inlineStr">
        <is>
          <t>Opening net PPE</t>
        </is>
      </c>
      <c r="I6" s="12">
        <f>'Historical BS'!H6</f>
        <v/>
      </c>
      <c r="J6" s="21">
        <f>I9</f>
        <v/>
      </c>
      <c r="K6" s="21">
        <f>J9</f>
        <v/>
      </c>
      <c r="L6" s="21">
        <f>K9</f>
        <v/>
      </c>
      <c r="M6" s="21">
        <f>L9</f>
        <v/>
      </c>
      <c r="N6" s="21">
        <f>M9</f>
        <v/>
      </c>
      <c r="O6" s="21">
        <f>N9</f>
        <v/>
      </c>
    </row>
    <row r="7">
      <c r="A7" s="5" t="inlineStr">
        <is>
          <t>Add: Capex</t>
        </is>
      </c>
      <c r="I7" s="12">
        <f>'Capex Expansion'!I5</f>
        <v/>
      </c>
      <c r="J7" s="12">
        <f>'Capex Expansion'!J5</f>
        <v/>
      </c>
      <c r="K7" s="12">
        <f>'Capex Expansion'!K5</f>
        <v/>
      </c>
      <c r="L7" s="12">
        <f>'Capex Expansion'!L5</f>
        <v/>
      </c>
      <c r="M7" s="12">
        <f>'Capex Expansion'!M5</f>
        <v/>
      </c>
      <c r="N7" s="12">
        <f>'Capex Expansion'!N5</f>
        <v/>
      </c>
      <c r="O7" s="12">
        <f>'Capex Expansion'!O5</f>
        <v/>
      </c>
    </row>
    <row r="8">
      <c r="A8" s="5" t="inlineStr">
        <is>
          <t>Less: PPE depreciation (rate x opening)</t>
        </is>
      </c>
      <c r="I8" s="12">
        <f>I6*'Assumptions'!I22</f>
        <v/>
      </c>
      <c r="J8" s="12">
        <f>J6*'Assumptions'!I22</f>
        <v/>
      </c>
      <c r="K8" s="12">
        <f>K6*'Assumptions'!I22</f>
        <v/>
      </c>
      <c r="L8" s="12">
        <f>L6*'Assumptions'!I22</f>
        <v/>
      </c>
      <c r="M8" s="12">
        <f>M6*'Assumptions'!I22</f>
        <v/>
      </c>
      <c r="N8" s="12">
        <f>N6*'Assumptions'!I22</f>
        <v/>
      </c>
      <c r="O8" s="12">
        <f>O6*'Assumptions'!I22</f>
        <v/>
      </c>
    </row>
    <row r="9">
      <c r="A9" s="22" t="inlineStr">
        <is>
          <t>Closing net PPE</t>
        </is>
      </c>
      <c r="I9" s="23">
        <f>I6+I7-I8</f>
        <v/>
      </c>
      <c r="J9" s="23">
        <f>J6+J7-J8</f>
        <v/>
      </c>
      <c r="K9" s="23">
        <f>K6+K7-K8</f>
        <v/>
      </c>
      <c r="L9" s="23">
        <f>L6+L7-L8</f>
        <v/>
      </c>
      <c r="M9" s="23">
        <f>M6+M7-M8</f>
        <v/>
      </c>
      <c r="N9" s="23">
        <f>N6+N7-N8</f>
        <v/>
      </c>
      <c r="O9" s="23">
        <f>O6+O7-O8</f>
        <v/>
      </c>
    </row>
    <row r="10">
      <c r="A10" s="19" t="inlineStr">
        <is>
          <t>Right-of-use assets &amp; intangibles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>
      <c r="A11" s="5" t="inlineStr">
        <is>
          <t>Opening ROU assets</t>
        </is>
      </c>
      <c r="I11" s="12">
        <f>'Historical BS'!H7</f>
        <v/>
      </c>
      <c r="J11" s="21">
        <f>I14</f>
        <v/>
      </c>
      <c r="K11" s="21">
        <f>J14</f>
        <v/>
      </c>
      <c r="L11" s="21">
        <f>K14</f>
        <v/>
      </c>
      <c r="M11" s="21">
        <f>L14</f>
        <v/>
      </c>
      <c r="N11" s="21">
        <f>M14</f>
        <v/>
      </c>
      <c r="O11" s="21">
        <f>N14</f>
        <v/>
      </c>
    </row>
    <row r="12">
      <c r="A12" s="5" t="inlineStr">
        <is>
          <t>Add: lease additions</t>
        </is>
      </c>
      <c r="I12" s="12">
        <f>'Assumptions'!I23</f>
        <v/>
      </c>
      <c r="J12" s="12">
        <f>'Assumptions'!I23</f>
        <v/>
      </c>
      <c r="K12" s="12">
        <f>'Assumptions'!I23</f>
        <v/>
      </c>
      <c r="L12" s="12">
        <f>'Assumptions'!I23</f>
        <v/>
      </c>
      <c r="M12" s="12">
        <f>'Assumptions'!I23</f>
        <v/>
      </c>
      <c r="N12" s="12">
        <f>'Assumptions'!I23</f>
        <v/>
      </c>
      <c r="O12" s="12">
        <f>'Assumptions'!I23</f>
        <v/>
      </c>
    </row>
    <row r="13">
      <c r="A13" s="5" t="inlineStr">
        <is>
          <t>Less: ROU depreciation</t>
        </is>
      </c>
      <c r="I13" s="12">
        <f>'Assumptions'!I23</f>
        <v/>
      </c>
      <c r="J13" s="12">
        <f>'Assumptions'!I23</f>
        <v/>
      </c>
      <c r="K13" s="12">
        <f>'Assumptions'!I23</f>
        <v/>
      </c>
      <c r="L13" s="12">
        <f>'Assumptions'!I23</f>
        <v/>
      </c>
      <c r="M13" s="12">
        <f>'Assumptions'!I23</f>
        <v/>
      </c>
      <c r="N13" s="12">
        <f>'Assumptions'!I23</f>
        <v/>
      </c>
      <c r="O13" s="12">
        <f>'Assumptions'!I23</f>
        <v/>
      </c>
    </row>
    <row r="14">
      <c r="A14" s="4" t="inlineStr">
        <is>
          <t>Closing ROU assets</t>
        </is>
      </c>
      <c r="I14" s="18">
        <f>I11+I12-I13</f>
        <v/>
      </c>
      <c r="J14" s="18">
        <f>J11+J12-J13</f>
        <v/>
      </c>
      <c r="K14" s="18">
        <f>K11+K12-K13</f>
        <v/>
      </c>
      <c r="L14" s="18">
        <f>L11+L12-L13</f>
        <v/>
      </c>
      <c r="M14" s="18">
        <f>M11+M12-M13</f>
        <v/>
      </c>
      <c r="N14" s="18">
        <f>N11+N12-N13</f>
        <v/>
      </c>
      <c r="O14" s="18">
        <f>O11+O12-O13</f>
        <v/>
      </c>
    </row>
    <row r="15">
      <c r="A15" s="5" t="inlineStr">
        <is>
          <t>Opening intangibles (finite+indef.)</t>
        </is>
      </c>
      <c r="I15" s="12">
        <f>'Historical BS'!H11</f>
        <v/>
      </c>
      <c r="J15" s="21">
        <f>I17</f>
        <v/>
      </c>
      <c r="K15" s="21">
        <f>J17</f>
        <v/>
      </c>
      <c r="L15" s="21">
        <f>K17</f>
        <v/>
      </c>
      <c r="M15" s="21">
        <f>L17</f>
        <v/>
      </c>
      <c r="N15" s="21">
        <f>M17</f>
        <v/>
      </c>
      <c r="O15" s="21">
        <f>N17</f>
        <v/>
      </c>
    </row>
    <row r="16">
      <c r="A16" s="5" t="inlineStr">
        <is>
          <t>Less: intangible amortisation</t>
        </is>
      </c>
      <c r="I16" s="12">
        <f>'Assumptions'!I24</f>
        <v/>
      </c>
      <c r="J16" s="12">
        <f>'Assumptions'!I24</f>
        <v/>
      </c>
      <c r="K16" s="12">
        <f>'Assumptions'!I24</f>
        <v/>
      </c>
      <c r="L16" s="12">
        <f>'Assumptions'!I24</f>
        <v/>
      </c>
      <c r="M16" s="12">
        <f>'Assumptions'!I24</f>
        <v/>
      </c>
      <c r="N16" s="12">
        <f>'Assumptions'!I24</f>
        <v/>
      </c>
      <c r="O16" s="12">
        <f>'Assumptions'!I24</f>
        <v/>
      </c>
    </row>
    <row r="17">
      <c r="A17" s="4" t="inlineStr">
        <is>
          <t>Closing intangibles</t>
        </is>
      </c>
      <c r="I17" s="18">
        <f>I15-I16</f>
        <v/>
      </c>
      <c r="J17" s="18">
        <f>J15-J16</f>
        <v/>
      </c>
      <c r="K17" s="18">
        <f>K15-K16</f>
        <v/>
      </c>
      <c r="L17" s="18">
        <f>L15-L16</f>
        <v/>
      </c>
      <c r="M17" s="18">
        <f>M15-M16</f>
        <v/>
      </c>
      <c r="N17" s="18">
        <f>N15-N16</f>
        <v/>
      </c>
      <c r="O17" s="18">
        <f>O15-O16</f>
        <v/>
      </c>
    </row>
    <row r="18">
      <c r="A18" s="22" t="inlineStr">
        <is>
          <t>Total Depreciation &amp; amortisation</t>
        </is>
      </c>
      <c r="I18" s="23">
        <f>I8+I13+I16</f>
        <v/>
      </c>
      <c r="J18" s="23">
        <f>J8+J13+J16</f>
        <v/>
      </c>
      <c r="K18" s="23">
        <f>K8+K13+K16</f>
        <v/>
      </c>
      <c r="L18" s="23">
        <f>L8+L13+L16</f>
        <v/>
      </c>
      <c r="M18" s="23">
        <f>M8+M13+M16</f>
        <v/>
      </c>
      <c r="N18" s="23">
        <f>N8+N13+N16</f>
        <v/>
      </c>
      <c r="O18" s="23">
        <f>O8+O13+O16</f>
        <v/>
      </c>
    </row>
  </sheetData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17.  WORKING CAPITAL SCHEDULE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5" t="inlineStr">
        <is>
          <t>Revenue</t>
        </is>
      </c>
      <c r="B5" s="12">
        <f>'Historical P&amp;L'!B5</f>
        <v/>
      </c>
      <c r="C5" s="12">
        <f>'Historical P&amp;L'!C5</f>
        <v/>
      </c>
      <c r="D5" s="12">
        <f>'Historical P&amp;L'!D5</f>
        <v/>
      </c>
      <c r="E5" s="12">
        <f>'Historical P&amp;L'!E5</f>
        <v/>
      </c>
      <c r="F5" s="12">
        <f>'Historical P&amp;L'!F5</f>
        <v/>
      </c>
      <c r="G5" s="12">
        <f>'Historical P&amp;L'!G5</f>
        <v/>
      </c>
      <c r="H5" s="12">
        <f>'Historical P&amp;L'!H5</f>
        <v/>
      </c>
      <c r="I5" s="12">
        <f>'Revenue Build'!I12</f>
        <v/>
      </c>
      <c r="J5" s="12">
        <f>'Revenue Build'!J12</f>
        <v/>
      </c>
      <c r="K5" s="12">
        <f>'Revenue Build'!K12</f>
        <v/>
      </c>
      <c r="L5" s="12">
        <f>'Revenue Build'!L12</f>
        <v/>
      </c>
      <c r="M5" s="12">
        <f>'Revenue Build'!M12</f>
        <v/>
      </c>
      <c r="N5" s="12">
        <f>'Revenue Build'!N12</f>
        <v/>
      </c>
      <c r="O5" s="12">
        <f>'Revenue Build'!O12</f>
        <v/>
      </c>
    </row>
    <row r="6">
      <c r="A6" s="5" t="inlineStr">
        <is>
          <t>Trade receivables</t>
        </is>
      </c>
      <c r="B6" s="12">
        <f>'Historical BS'!B24</f>
        <v/>
      </c>
      <c r="C6" s="12">
        <f>'Historical BS'!C24</f>
        <v/>
      </c>
      <c r="D6" s="12">
        <f>'Historical BS'!D24</f>
        <v/>
      </c>
      <c r="E6" s="12">
        <f>'Historical BS'!E24</f>
        <v/>
      </c>
      <c r="F6" s="12">
        <f>'Historical BS'!F24</f>
        <v/>
      </c>
      <c r="G6" s="12">
        <f>'Historical BS'!G24</f>
        <v/>
      </c>
      <c r="H6" s="12">
        <f>'Historical BS'!H24</f>
        <v/>
      </c>
      <c r="I6" s="12">
        <f>I5*'Assumptions'!I27</f>
        <v/>
      </c>
      <c r="J6" s="12">
        <f>J5*'Assumptions'!I27</f>
        <v/>
      </c>
      <c r="K6" s="12">
        <f>K5*'Assumptions'!I27</f>
        <v/>
      </c>
      <c r="L6" s="12">
        <f>L5*'Assumptions'!I27</f>
        <v/>
      </c>
      <c r="M6" s="12">
        <f>M5*'Assumptions'!I27</f>
        <v/>
      </c>
      <c r="N6" s="12">
        <f>N5*'Assumptions'!I27</f>
        <v/>
      </c>
      <c r="O6" s="12">
        <f>O5*'Assumptions'!I27</f>
        <v/>
      </c>
    </row>
    <row r="7">
      <c r="A7" s="5" t="inlineStr">
        <is>
          <t>Inventories</t>
        </is>
      </c>
      <c r="B7" s="12">
        <f>'Historical BS'!B22</f>
        <v/>
      </c>
      <c r="C7" s="12">
        <f>'Historical BS'!C22</f>
        <v/>
      </c>
      <c r="D7" s="12">
        <f>'Historical BS'!D22</f>
        <v/>
      </c>
      <c r="E7" s="12">
        <f>'Historical BS'!E22</f>
        <v/>
      </c>
      <c r="F7" s="12">
        <f>'Historical BS'!F22</f>
        <v/>
      </c>
      <c r="G7" s="12">
        <f>'Historical BS'!G22</f>
        <v/>
      </c>
      <c r="H7" s="12">
        <f>'Historical BS'!H22</f>
        <v/>
      </c>
      <c r="I7" s="12">
        <f>I5*'Assumptions'!I28</f>
        <v/>
      </c>
      <c r="J7" s="12">
        <f>J5*'Assumptions'!I28</f>
        <v/>
      </c>
      <c r="K7" s="12">
        <f>K5*'Assumptions'!I28</f>
        <v/>
      </c>
      <c r="L7" s="12">
        <f>L5*'Assumptions'!I28</f>
        <v/>
      </c>
      <c r="M7" s="12">
        <f>M5*'Assumptions'!I28</f>
        <v/>
      </c>
      <c r="N7" s="12">
        <f>N5*'Assumptions'!I28</f>
        <v/>
      </c>
      <c r="O7" s="12">
        <f>O5*'Assumptions'!I28</f>
        <v/>
      </c>
    </row>
    <row r="8">
      <c r="A8" s="5" t="inlineStr">
        <is>
          <t>Other current assets</t>
        </is>
      </c>
      <c r="B8" s="12">
        <f>'Historical BS'!B30</f>
        <v/>
      </c>
      <c r="C8" s="12">
        <f>'Historical BS'!C30</f>
        <v/>
      </c>
      <c r="D8" s="12">
        <f>'Historical BS'!D30</f>
        <v/>
      </c>
      <c r="E8" s="12">
        <f>'Historical BS'!E30</f>
        <v/>
      </c>
      <c r="F8" s="12">
        <f>'Historical BS'!F30</f>
        <v/>
      </c>
      <c r="G8" s="12">
        <f>'Historical BS'!G30</f>
        <v/>
      </c>
      <c r="H8" s="12">
        <f>'Historical BS'!H30</f>
        <v/>
      </c>
      <c r="I8" s="12">
        <f>I5*'Assumptions'!I30</f>
        <v/>
      </c>
      <c r="J8" s="12">
        <f>J5*'Assumptions'!I30</f>
        <v/>
      </c>
      <c r="K8" s="12">
        <f>K5*'Assumptions'!I30</f>
        <v/>
      </c>
      <c r="L8" s="12">
        <f>L5*'Assumptions'!I30</f>
        <v/>
      </c>
      <c r="M8" s="12">
        <f>M5*'Assumptions'!I30</f>
        <v/>
      </c>
      <c r="N8" s="12">
        <f>N5*'Assumptions'!I30</f>
        <v/>
      </c>
      <c r="O8" s="12">
        <f>O5*'Assumptions'!I30</f>
        <v/>
      </c>
    </row>
    <row r="9">
      <c r="A9" s="5" t="inlineStr">
        <is>
          <t>Trade payables</t>
        </is>
      </c>
      <c r="B9" s="12">
        <f>'Historical BS'!B48</f>
        <v/>
      </c>
      <c r="C9" s="12">
        <f>'Historical BS'!C48</f>
        <v/>
      </c>
      <c r="D9" s="12">
        <f>'Historical BS'!D48</f>
        <v/>
      </c>
      <c r="E9" s="12">
        <f>'Historical BS'!E48</f>
        <v/>
      </c>
      <c r="F9" s="12">
        <f>'Historical BS'!F48</f>
        <v/>
      </c>
      <c r="G9" s="12">
        <f>'Historical BS'!G48</f>
        <v/>
      </c>
      <c r="H9" s="12">
        <f>'Historical BS'!H48</f>
        <v/>
      </c>
      <c r="I9" s="12">
        <f>I5*'Assumptions'!I29</f>
        <v/>
      </c>
      <c r="J9" s="12">
        <f>J5*'Assumptions'!I29</f>
        <v/>
      </c>
      <c r="K9" s="12">
        <f>K5*'Assumptions'!I29</f>
        <v/>
      </c>
      <c r="L9" s="12">
        <f>L5*'Assumptions'!I29</f>
        <v/>
      </c>
      <c r="M9" s="12">
        <f>M5*'Assumptions'!I29</f>
        <v/>
      </c>
      <c r="N9" s="12">
        <f>N5*'Assumptions'!I29</f>
        <v/>
      </c>
      <c r="O9" s="12">
        <f>O5*'Assumptions'!I29</f>
        <v/>
      </c>
    </row>
    <row r="10">
      <c r="A10" s="5" t="inlineStr">
        <is>
          <t>Other current liabilities</t>
        </is>
      </c>
      <c r="B10" s="12">
        <f>'Historical BS'!B50</f>
        <v/>
      </c>
      <c r="C10" s="12">
        <f>'Historical BS'!C50</f>
        <v/>
      </c>
      <c r="D10" s="12">
        <f>'Historical BS'!D50</f>
        <v/>
      </c>
      <c r="E10" s="12">
        <f>'Historical BS'!E50</f>
        <v/>
      </c>
      <c r="F10" s="12">
        <f>'Historical BS'!F50</f>
        <v/>
      </c>
      <c r="G10" s="12">
        <f>'Historical BS'!G50</f>
        <v/>
      </c>
      <c r="H10" s="12">
        <f>'Historical BS'!H50</f>
        <v/>
      </c>
      <c r="I10" s="12">
        <f>I5*'Assumptions'!I31</f>
        <v/>
      </c>
      <c r="J10" s="12">
        <f>J5*'Assumptions'!I31</f>
        <v/>
      </c>
      <c r="K10" s="12">
        <f>K5*'Assumptions'!I31</f>
        <v/>
      </c>
      <c r="L10" s="12">
        <f>L5*'Assumptions'!I31</f>
        <v/>
      </c>
      <c r="M10" s="12">
        <f>M5*'Assumptions'!I31</f>
        <v/>
      </c>
      <c r="N10" s="12">
        <f>N5*'Assumptions'!I31</f>
        <v/>
      </c>
      <c r="O10" s="12">
        <f>O5*'Assumptions'!I31</f>
        <v/>
      </c>
    </row>
    <row r="11">
      <c r="A11" s="22" t="inlineStr">
        <is>
          <t>Net working capital</t>
        </is>
      </c>
      <c r="B11" s="23">
        <f>B6+B7+B8-B9-B10</f>
        <v/>
      </c>
      <c r="C11" s="23">
        <f>C6+C7+C8-C9-C10</f>
        <v/>
      </c>
      <c r="D11" s="23">
        <f>D6+D7+D8-D9-D10</f>
        <v/>
      </c>
      <c r="E11" s="23">
        <f>E6+E7+E8-E9-E10</f>
        <v/>
      </c>
      <c r="F11" s="23">
        <f>F6+F7+F8-F9-F10</f>
        <v/>
      </c>
      <c r="G11" s="23">
        <f>G6+G7+G8-G9-G10</f>
        <v/>
      </c>
      <c r="H11" s="23">
        <f>H6+H7+H8-H9-H10</f>
        <v/>
      </c>
      <c r="I11" s="23">
        <f>I6+I7+I8-I9-I10</f>
        <v/>
      </c>
      <c r="J11" s="23">
        <f>J6+J7+J8-J9-J10</f>
        <v/>
      </c>
      <c r="K11" s="23">
        <f>K6+K7+K8-K9-K10</f>
        <v/>
      </c>
      <c r="L11" s="23">
        <f>L6+L7+L8-L9-L10</f>
        <v/>
      </c>
      <c r="M11" s="23">
        <f>M6+M7+M8-M9-M10</f>
        <v/>
      </c>
      <c r="N11" s="23">
        <f>N6+N7+N8-N9-N10</f>
        <v/>
      </c>
      <c r="O11" s="23">
        <f>O6+O7+O8-O9-O10</f>
        <v/>
      </c>
    </row>
    <row r="12">
      <c r="A12" s="4" t="inlineStr">
        <is>
          <t>Change in NWC (increase = cash outflow)</t>
        </is>
      </c>
      <c r="C12" s="18">
        <f>C11-B11</f>
        <v/>
      </c>
      <c r="D12" s="18">
        <f>D11-C11</f>
        <v/>
      </c>
      <c r="E12" s="18">
        <f>E11-D11</f>
        <v/>
      </c>
      <c r="F12" s="18">
        <f>F11-E11</f>
        <v/>
      </c>
      <c r="G12" s="18">
        <f>G11-F11</f>
        <v/>
      </c>
      <c r="H12" s="18">
        <f>H11-G11</f>
        <v/>
      </c>
      <c r="I12" s="18">
        <f>I11-H11</f>
        <v/>
      </c>
      <c r="J12" s="18">
        <f>J11-I11</f>
        <v/>
      </c>
      <c r="K12" s="18">
        <f>K11-J11</f>
        <v/>
      </c>
      <c r="L12" s="18">
        <f>L11-K11</f>
        <v/>
      </c>
      <c r="M12" s="18">
        <f>M11-L11</f>
        <v/>
      </c>
      <c r="N12" s="18">
        <f>N11-M11</f>
        <v/>
      </c>
      <c r="O12" s="18">
        <f>O11-N11</f>
        <v/>
      </c>
    </row>
    <row r="13">
      <c r="A13" s="5" t="inlineStr">
        <is>
          <t>DSO (days)</t>
        </is>
      </c>
      <c r="B13" s="44">
        <f>B6/B5*365</f>
        <v/>
      </c>
      <c r="C13" s="44">
        <f>C6/C5*365</f>
        <v/>
      </c>
      <c r="D13" s="44">
        <f>D6/D5*365</f>
        <v/>
      </c>
      <c r="E13" s="44">
        <f>E6/E5*365</f>
        <v/>
      </c>
      <c r="F13" s="44">
        <f>F6/F5*365</f>
        <v/>
      </c>
      <c r="G13" s="44">
        <f>G6/G5*365</f>
        <v/>
      </c>
      <c r="H13" s="44">
        <f>H6/H5*365</f>
        <v/>
      </c>
      <c r="I13" s="44">
        <f>I6/I5*365</f>
        <v/>
      </c>
      <c r="J13" s="44">
        <f>J6/J5*365</f>
        <v/>
      </c>
      <c r="K13" s="44">
        <f>K6/K5*365</f>
        <v/>
      </c>
      <c r="L13" s="44">
        <f>L6/L5*365</f>
        <v/>
      </c>
      <c r="M13" s="44">
        <f>M6/M5*365</f>
        <v/>
      </c>
      <c r="N13" s="44">
        <f>N6/N5*365</f>
        <v/>
      </c>
      <c r="O13" s="44">
        <f>O6/O5*365</f>
        <v/>
      </c>
    </row>
    <row r="14">
      <c r="A14" s="5" t="inlineStr">
        <is>
          <t>DPO (days, on revenue)</t>
        </is>
      </c>
      <c r="B14" s="44">
        <f>B9/B5*365</f>
        <v/>
      </c>
      <c r="C14" s="44">
        <f>C9/C5*365</f>
        <v/>
      </c>
      <c r="D14" s="44">
        <f>D9/D5*365</f>
        <v/>
      </c>
      <c r="E14" s="44">
        <f>E9/E5*365</f>
        <v/>
      </c>
      <c r="F14" s="44">
        <f>F9/F5*365</f>
        <v/>
      </c>
      <c r="G14" s="44">
        <f>G9/G5*365</f>
        <v/>
      </c>
      <c r="H14" s="44">
        <f>H9/H5*365</f>
        <v/>
      </c>
      <c r="I14" s="44">
        <f>I9/I5*365</f>
        <v/>
      </c>
      <c r="J14" s="44">
        <f>J9/J5*365</f>
        <v/>
      </c>
      <c r="K14" s="44">
        <f>K9/K5*365</f>
        <v/>
      </c>
      <c r="L14" s="44">
        <f>L9/L5*365</f>
        <v/>
      </c>
      <c r="M14" s="44">
        <f>M9/M5*365</f>
        <v/>
      </c>
      <c r="N14" s="44">
        <f>N9/N5*365</f>
        <v/>
      </c>
      <c r="O14" s="44">
        <f>O9/O5*365</f>
        <v/>
      </c>
    </row>
  </sheetData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18.  DEBT SCHEDULE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5" t="inlineStr">
        <is>
          <t>Opening gross debt</t>
        </is>
      </c>
      <c r="I5" s="12">
        <f>'Historical BS'!H38+'Historical BS'!H46</f>
        <v/>
      </c>
      <c r="J5" s="21">
        <f>I6</f>
        <v/>
      </c>
      <c r="K5" s="21">
        <f>J6</f>
        <v/>
      </c>
      <c r="L5" s="21">
        <f>K6</f>
        <v/>
      </c>
      <c r="M5" s="21">
        <f>L6</f>
        <v/>
      </c>
      <c r="N5" s="21">
        <f>M6</f>
        <v/>
      </c>
      <c r="O5" s="21">
        <f>N6</f>
        <v/>
      </c>
    </row>
    <row r="6">
      <c r="A6" s="4" t="inlineStr">
        <is>
          <t>Closing gross debt (target)</t>
        </is>
      </c>
      <c r="I6" s="43">
        <f>'Assumptions'!I33</f>
        <v/>
      </c>
      <c r="J6" s="43">
        <f>'Assumptions'!J33</f>
        <v/>
      </c>
      <c r="K6" s="43">
        <f>'Assumptions'!K33</f>
        <v/>
      </c>
      <c r="L6" s="43">
        <f>'Assumptions'!L33</f>
        <v/>
      </c>
      <c r="M6" s="43">
        <f>'Assumptions'!M33</f>
        <v/>
      </c>
      <c r="N6" s="43">
        <f>'Assumptions'!N33</f>
        <v/>
      </c>
      <c r="O6" s="43">
        <f>'Assumptions'!O33</f>
        <v/>
      </c>
    </row>
    <row r="7">
      <c r="A7" s="5" t="inlineStr">
        <is>
          <t>Net drawdown/(repayment)</t>
        </is>
      </c>
      <c r="I7" s="21">
        <f>I6-I5</f>
        <v/>
      </c>
      <c r="J7" s="21">
        <f>J6-J5</f>
        <v/>
      </c>
      <c r="K7" s="21">
        <f>K6-K5</f>
        <v/>
      </c>
      <c r="L7" s="21">
        <f>L6-L5</f>
        <v/>
      </c>
      <c r="M7" s="21">
        <f>M6-M5</f>
        <v/>
      </c>
      <c r="N7" s="21">
        <f>N6-N5</f>
        <v/>
      </c>
      <c r="O7" s="21">
        <f>O6-O5</f>
        <v/>
      </c>
    </row>
    <row r="8">
      <c r="A8" s="5" t="inlineStr">
        <is>
          <t>Average gross debt</t>
        </is>
      </c>
      <c r="I8" s="21">
        <f>(I5+I6)/2</f>
        <v/>
      </c>
      <c r="J8" s="21">
        <f>(J5+J6)/2</f>
        <v/>
      </c>
      <c r="K8" s="21">
        <f>(K5+K6)/2</f>
        <v/>
      </c>
      <c r="L8" s="21">
        <f>(L5+L6)/2</f>
        <v/>
      </c>
      <c r="M8" s="21">
        <f>(M5+M6)/2</f>
        <v/>
      </c>
      <c r="N8" s="21">
        <f>(N5+N6)/2</f>
        <v/>
      </c>
      <c r="O8" s="21">
        <f>(O5+O6)/2</f>
        <v/>
      </c>
    </row>
    <row r="9">
      <c r="A9" s="5" t="inlineStr">
        <is>
          <t>Interest rate %</t>
        </is>
      </c>
      <c r="I9" s="9">
        <f>'Assumptions'!I34</f>
        <v/>
      </c>
      <c r="J9" s="9">
        <f>'Assumptions'!I34</f>
        <v/>
      </c>
      <c r="K9" s="9">
        <f>'Assumptions'!I34</f>
        <v/>
      </c>
      <c r="L9" s="9">
        <f>'Assumptions'!I34</f>
        <v/>
      </c>
      <c r="M9" s="9">
        <f>'Assumptions'!I34</f>
        <v/>
      </c>
      <c r="N9" s="9">
        <f>'Assumptions'!I34</f>
        <v/>
      </c>
      <c r="O9" s="9">
        <f>'Assumptions'!I34</f>
        <v/>
      </c>
    </row>
    <row r="10">
      <c r="A10" s="4" t="inlineStr">
        <is>
          <t>Borrowing interest expense</t>
        </is>
      </c>
      <c r="I10" s="18">
        <f>I8*I9</f>
        <v/>
      </c>
      <c r="J10" s="18">
        <f>J8*J9</f>
        <v/>
      </c>
      <c r="K10" s="18">
        <f>K8*K9</f>
        <v/>
      </c>
      <c r="L10" s="18">
        <f>L8*L9</f>
        <v/>
      </c>
      <c r="M10" s="18">
        <f>M8*M9</f>
        <v/>
      </c>
      <c r="N10" s="18">
        <f>N8*N9</f>
        <v/>
      </c>
      <c r="O10" s="18">
        <f>O8*O9</f>
        <v/>
      </c>
    </row>
    <row r="11">
      <c r="A11" s="5" t="inlineStr">
        <is>
          <t xml:space="preserve">  Current portion (period-end)</t>
        </is>
      </c>
      <c r="I11" s="21">
        <f>I6*0.161</f>
        <v/>
      </c>
      <c r="J11" s="21">
        <f>J6*0.161</f>
        <v/>
      </c>
      <c r="K11" s="21">
        <f>K6*0.161</f>
        <v/>
      </c>
      <c r="L11" s="21">
        <f>L6*0.161</f>
        <v/>
      </c>
      <c r="M11" s="21">
        <f>M6*0.161</f>
        <v/>
      </c>
      <c r="N11" s="21">
        <f>N6*0.161</f>
        <v/>
      </c>
      <c r="O11" s="21">
        <f>O6*0.161</f>
        <v/>
      </c>
    </row>
    <row r="12">
      <c r="A12" s="5" t="inlineStr">
        <is>
          <t xml:space="preserve">  Non-current portion (period-end)</t>
        </is>
      </c>
      <c r="I12" s="21">
        <f>I6-I11</f>
        <v/>
      </c>
      <c r="J12" s="21">
        <f>J6-J11</f>
        <v/>
      </c>
      <c r="K12" s="21">
        <f>K6-K11</f>
        <v/>
      </c>
      <c r="L12" s="21">
        <f>L6-L11</f>
        <v/>
      </c>
      <c r="M12" s="21">
        <f>M6-M11</f>
        <v/>
      </c>
      <c r="N12" s="21">
        <f>N6-N11</f>
        <v/>
      </c>
      <c r="O12" s="21">
        <f>O6-O11</f>
        <v/>
      </c>
    </row>
  </sheetData>
  <mergeCells count="1">
    <mergeCell ref="A1: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19.  LEASE LIABILITY SCHEDULE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5" t="inlineStr">
        <is>
          <t>Opening lease liability</t>
        </is>
      </c>
      <c r="I5" s="12">
        <f>'Historical BS'!H39+'Historical BS'!H47</f>
        <v/>
      </c>
      <c r="J5" s="21">
        <f>I9</f>
        <v/>
      </c>
      <c r="K5" s="21">
        <f>J9</f>
        <v/>
      </c>
      <c r="L5" s="21">
        <f>K9</f>
        <v/>
      </c>
      <c r="M5" s="21">
        <f>L9</f>
        <v/>
      </c>
      <c r="N5" s="21">
        <f>M9</f>
        <v/>
      </c>
      <c r="O5" s="21">
        <f>N9</f>
        <v/>
      </c>
    </row>
    <row r="6">
      <c r="A6" s="5" t="inlineStr">
        <is>
          <t>Add: new lease additions</t>
        </is>
      </c>
      <c r="I6" s="12">
        <f>'Assumptions'!I23</f>
        <v/>
      </c>
      <c r="J6" s="12">
        <f>'Assumptions'!I23</f>
        <v/>
      </c>
      <c r="K6" s="12">
        <f>'Assumptions'!I23</f>
        <v/>
      </c>
      <c r="L6" s="12">
        <f>'Assumptions'!I23</f>
        <v/>
      </c>
      <c r="M6" s="12">
        <f>'Assumptions'!I23</f>
        <v/>
      </c>
      <c r="N6" s="12">
        <f>'Assumptions'!I23</f>
        <v/>
      </c>
      <c r="O6" s="12">
        <f>'Assumptions'!I23</f>
        <v/>
      </c>
    </row>
    <row r="7">
      <c r="A7" s="4" t="inlineStr">
        <is>
          <t>Lease interest (rate x opening)</t>
        </is>
      </c>
      <c r="I7" s="43">
        <f>I5*'Assumptions'!I25</f>
        <v/>
      </c>
      <c r="J7" s="43">
        <f>J5*'Assumptions'!I25</f>
        <v/>
      </c>
      <c r="K7" s="43">
        <f>K5*'Assumptions'!I25</f>
        <v/>
      </c>
      <c r="L7" s="43">
        <f>L5*'Assumptions'!I25</f>
        <v/>
      </c>
      <c r="M7" s="43">
        <f>M5*'Assumptions'!I25</f>
        <v/>
      </c>
      <c r="N7" s="43">
        <f>N5*'Assumptions'!I25</f>
        <v/>
      </c>
      <c r="O7" s="43">
        <f>O5*'Assumptions'!I25</f>
        <v/>
      </c>
    </row>
    <row r="8">
      <c r="A8" s="5" t="inlineStr">
        <is>
          <t>Less: principal payment</t>
        </is>
      </c>
      <c r="I8" s="12">
        <f>'Assumptions'!I23</f>
        <v/>
      </c>
      <c r="J8" s="12">
        <f>'Assumptions'!I23</f>
        <v/>
      </c>
      <c r="K8" s="12">
        <f>'Assumptions'!I23</f>
        <v/>
      </c>
      <c r="L8" s="12">
        <f>'Assumptions'!I23</f>
        <v/>
      </c>
      <c r="M8" s="12">
        <f>'Assumptions'!I23</f>
        <v/>
      </c>
      <c r="N8" s="12">
        <f>'Assumptions'!I23</f>
        <v/>
      </c>
      <c r="O8" s="12">
        <f>'Assumptions'!I23</f>
        <v/>
      </c>
    </row>
    <row r="9">
      <c r="A9" s="22" t="inlineStr">
        <is>
          <t>Closing lease liability</t>
        </is>
      </c>
      <c r="I9" s="23">
        <f>I5+I6-I8</f>
        <v/>
      </c>
      <c r="J9" s="23">
        <f>J5+J6-J8</f>
        <v/>
      </c>
      <c r="K9" s="23">
        <f>K5+K6-K8</f>
        <v/>
      </c>
      <c r="L9" s="23">
        <f>L5+L6-L8</f>
        <v/>
      </c>
      <c r="M9" s="23">
        <f>M5+M6-M8</f>
        <v/>
      </c>
      <c r="N9" s="23">
        <f>N5+N6-N8</f>
        <v/>
      </c>
      <c r="O9" s="23">
        <f>O5+O6-O8</f>
        <v/>
      </c>
    </row>
    <row r="11">
      <c r="A11" s="28" t="inlineStr">
        <is>
          <t>Leases modelled at steady state (additions = principal payment = ROU depreciation) given shift toward owned assets; lease liability held ~flat. Simplification disclosed.</t>
        </is>
      </c>
    </row>
  </sheetData>
  <mergeCells count="1">
    <mergeCell ref="A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20.  TAX SCHEDULE  &amp;  EBIT / PBT / PAT BRIDGE (forecast)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5" t="inlineStr">
        <is>
          <t>PBIDT (EBITDA + other income)</t>
        </is>
      </c>
      <c r="I5" s="12">
        <f>'EBITDA Build'!I14</f>
        <v/>
      </c>
      <c r="J5" s="12">
        <f>'EBITDA Build'!J14</f>
        <v/>
      </c>
      <c r="K5" s="12">
        <f>'EBITDA Build'!K14</f>
        <v/>
      </c>
      <c r="L5" s="12">
        <f>'EBITDA Build'!L14</f>
        <v/>
      </c>
      <c r="M5" s="12">
        <f>'EBITDA Build'!M14</f>
        <v/>
      </c>
      <c r="N5" s="12">
        <f>'EBITDA Build'!N14</f>
        <v/>
      </c>
      <c r="O5" s="12">
        <f>'EBITDA Build'!O14</f>
        <v/>
      </c>
    </row>
    <row r="6">
      <c r="A6" s="5" t="inlineStr">
        <is>
          <t>Less: Depreciation &amp; amortisation</t>
        </is>
      </c>
      <c r="I6" s="12">
        <f>-'PPE Depreciation'!I18</f>
        <v/>
      </c>
      <c r="J6" s="12">
        <f>-'PPE Depreciation'!J18</f>
        <v/>
      </c>
      <c r="K6" s="12">
        <f>-'PPE Depreciation'!K18</f>
        <v/>
      </c>
      <c r="L6" s="12">
        <f>-'PPE Depreciation'!L18</f>
        <v/>
      </c>
      <c r="M6" s="12">
        <f>-'PPE Depreciation'!M18</f>
        <v/>
      </c>
      <c r="N6" s="12">
        <f>-'PPE Depreciation'!N18</f>
        <v/>
      </c>
      <c r="O6" s="12">
        <f>-'PPE Depreciation'!O18</f>
        <v/>
      </c>
    </row>
    <row r="7">
      <c r="A7" s="4" t="inlineStr">
        <is>
          <t>EBIT</t>
        </is>
      </c>
      <c r="I7" s="18">
        <f>I5+I6</f>
        <v/>
      </c>
      <c r="J7" s="18">
        <f>J5+J6</f>
        <v/>
      </c>
      <c r="K7" s="18">
        <f>K5+K6</f>
        <v/>
      </c>
      <c r="L7" s="18">
        <f>L5+L6</f>
        <v/>
      </c>
      <c r="M7" s="18">
        <f>M5+M6</f>
        <v/>
      </c>
      <c r="N7" s="18">
        <f>N5+N6</f>
        <v/>
      </c>
      <c r="O7" s="18">
        <f>O5+O6</f>
        <v/>
      </c>
    </row>
    <row r="8">
      <c r="A8" s="5" t="inlineStr">
        <is>
          <t>Less: Finance cost (debt + lease)</t>
        </is>
      </c>
      <c r="I8" s="12">
        <f>-('Debt Schedule'!I10+'Lease Schedule'!I7)</f>
        <v/>
      </c>
      <c r="J8" s="12">
        <f>-('Debt Schedule'!J10+'Lease Schedule'!J7)</f>
        <v/>
      </c>
      <c r="K8" s="12">
        <f>-('Debt Schedule'!K10+'Lease Schedule'!K7)</f>
        <v/>
      </c>
      <c r="L8" s="12">
        <f>-('Debt Schedule'!L10+'Lease Schedule'!L7)</f>
        <v/>
      </c>
      <c r="M8" s="12">
        <f>-('Debt Schedule'!M10+'Lease Schedule'!M7)</f>
        <v/>
      </c>
      <c r="N8" s="12">
        <f>-('Debt Schedule'!N10+'Lease Schedule'!N7)</f>
        <v/>
      </c>
      <c r="O8" s="12">
        <f>-('Debt Schedule'!O10+'Lease Schedule'!O7)</f>
        <v/>
      </c>
    </row>
    <row r="9">
      <c r="A9" s="4" t="inlineStr">
        <is>
          <t>Profit before tax</t>
        </is>
      </c>
      <c r="I9" s="18">
        <f>I7+I8</f>
        <v/>
      </c>
      <c r="J9" s="18">
        <f>J7+J8</f>
        <v/>
      </c>
      <c r="K9" s="18">
        <f>K7+K8</f>
        <v/>
      </c>
      <c r="L9" s="18">
        <f>L7+L8</f>
        <v/>
      </c>
      <c r="M9" s="18">
        <f>M7+M8</f>
        <v/>
      </c>
      <c r="N9" s="18">
        <f>N7+N8</f>
        <v/>
      </c>
      <c r="O9" s="18">
        <f>O7+O8</f>
        <v/>
      </c>
    </row>
    <row r="10">
      <c r="A10" s="5" t="inlineStr">
        <is>
          <t>Effective tax rate %</t>
        </is>
      </c>
      <c r="I10" s="9">
        <f>'Assumptions'!I35</f>
        <v/>
      </c>
      <c r="J10" s="9">
        <f>'Assumptions'!I35</f>
        <v/>
      </c>
      <c r="K10" s="9">
        <f>'Assumptions'!I35</f>
        <v/>
      </c>
      <c r="L10" s="9">
        <f>'Assumptions'!I35</f>
        <v/>
      </c>
      <c r="M10" s="9">
        <f>'Assumptions'!I35</f>
        <v/>
      </c>
      <c r="N10" s="9">
        <f>'Assumptions'!I35</f>
        <v/>
      </c>
      <c r="O10" s="9">
        <f>'Assumptions'!I35</f>
        <v/>
      </c>
    </row>
    <row r="11">
      <c r="A11" s="4" t="inlineStr">
        <is>
          <t>Tax expense</t>
        </is>
      </c>
      <c r="I11" s="18">
        <f>I9*I10</f>
        <v/>
      </c>
      <c r="J11" s="18">
        <f>J9*J10</f>
        <v/>
      </c>
      <c r="K11" s="18">
        <f>K9*K10</f>
        <v/>
      </c>
      <c r="L11" s="18">
        <f>L9*L10</f>
        <v/>
      </c>
      <c r="M11" s="18">
        <f>M9*M10</f>
        <v/>
      </c>
      <c r="N11" s="18">
        <f>N9*N10</f>
        <v/>
      </c>
      <c r="O11" s="18">
        <f>O9*O10</f>
        <v/>
      </c>
    </row>
    <row r="12">
      <c r="A12" s="22" t="inlineStr">
        <is>
          <t>Profit after tax</t>
        </is>
      </c>
      <c r="I12" s="23">
        <f>I9-I11</f>
        <v/>
      </c>
      <c r="J12" s="23">
        <f>J9-J11</f>
        <v/>
      </c>
      <c r="K12" s="23">
        <f>K9-K11</f>
        <v/>
      </c>
      <c r="L12" s="23">
        <f>L9-L11</f>
        <v/>
      </c>
      <c r="M12" s="23">
        <f>M9-M11</f>
        <v/>
      </c>
      <c r="N12" s="23">
        <f>N9-N11</f>
        <v/>
      </c>
      <c r="O12" s="23">
        <f>O9-O11</f>
        <v/>
      </c>
    </row>
  </sheetData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21.  INTEGRATED INCOME STATEMENT  (FY20A-FY33E)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4" t="inlineStr">
        <is>
          <t>Revenue from operations</t>
        </is>
      </c>
      <c r="B5" s="43">
        <f>'Historical P&amp;L'!B5</f>
        <v/>
      </c>
      <c r="C5" s="43">
        <f>'Historical P&amp;L'!C5</f>
        <v/>
      </c>
      <c r="D5" s="43">
        <f>'Historical P&amp;L'!D5</f>
        <v/>
      </c>
      <c r="E5" s="43">
        <f>'Historical P&amp;L'!E5</f>
        <v/>
      </c>
      <c r="F5" s="43">
        <f>'Historical P&amp;L'!F5</f>
        <v/>
      </c>
      <c r="G5" s="43">
        <f>'Historical P&amp;L'!G5</f>
        <v/>
      </c>
      <c r="H5" s="43">
        <f>'Historical P&amp;L'!H5</f>
        <v/>
      </c>
      <c r="I5" s="43">
        <f>'Revenue Build'!I12</f>
        <v/>
      </c>
      <c r="J5" s="43">
        <f>'Revenue Build'!J12</f>
        <v/>
      </c>
      <c r="K5" s="43">
        <f>'Revenue Build'!K12</f>
        <v/>
      </c>
      <c r="L5" s="43">
        <f>'Revenue Build'!L12</f>
        <v/>
      </c>
      <c r="M5" s="43">
        <f>'Revenue Build'!M12</f>
        <v/>
      </c>
      <c r="N5" s="43">
        <f>'Revenue Build'!N12</f>
        <v/>
      </c>
      <c r="O5" s="43">
        <f>'Revenue Build'!O12</f>
        <v/>
      </c>
    </row>
    <row r="6">
      <c r="A6" s="5" t="inlineStr">
        <is>
          <t>Other income</t>
        </is>
      </c>
      <c r="B6" s="12">
        <f>'Historical P&amp;L'!B6</f>
        <v/>
      </c>
      <c r="C6" s="12">
        <f>'Historical P&amp;L'!C6</f>
        <v/>
      </c>
      <c r="D6" s="12">
        <f>'Historical P&amp;L'!D6</f>
        <v/>
      </c>
      <c r="E6" s="12">
        <f>'Historical P&amp;L'!E6</f>
        <v/>
      </c>
      <c r="F6" s="12">
        <f>'Historical P&amp;L'!F6</f>
        <v/>
      </c>
      <c r="G6" s="12">
        <f>'Historical P&amp;L'!G6</f>
        <v/>
      </c>
      <c r="H6" s="12">
        <f>'Historical P&amp;L'!H6</f>
        <v/>
      </c>
      <c r="I6" s="12">
        <f>'EBITDA Build'!I13</f>
        <v/>
      </c>
      <c r="J6" s="12">
        <f>'EBITDA Build'!J13</f>
        <v/>
      </c>
      <c r="K6" s="12">
        <f>'EBITDA Build'!K13</f>
        <v/>
      </c>
      <c r="L6" s="12">
        <f>'EBITDA Build'!L13</f>
        <v/>
      </c>
      <c r="M6" s="12">
        <f>'EBITDA Build'!M13</f>
        <v/>
      </c>
      <c r="N6" s="12">
        <f>'EBITDA Build'!N13</f>
        <v/>
      </c>
      <c r="O6" s="12">
        <f>'EBITDA Build'!O13</f>
        <v/>
      </c>
    </row>
    <row r="7">
      <c r="A7" s="4" t="inlineStr">
        <is>
          <t>Total income</t>
        </is>
      </c>
      <c r="B7" s="18">
        <f>B5+B6</f>
        <v/>
      </c>
      <c r="C7" s="18">
        <f>C5+C6</f>
        <v/>
      </c>
      <c r="D7" s="18">
        <f>D5+D6</f>
        <v/>
      </c>
      <c r="E7" s="18">
        <f>E5+E6</f>
        <v/>
      </c>
      <c r="F7" s="18">
        <f>F5+F6</f>
        <v/>
      </c>
      <c r="G7" s="18">
        <f>G5+G6</f>
        <v/>
      </c>
      <c r="H7" s="18">
        <f>H5+H6</f>
        <v/>
      </c>
      <c r="I7" s="18">
        <f>I5+I6</f>
        <v/>
      </c>
      <c r="J7" s="18">
        <f>J5+J6</f>
        <v/>
      </c>
      <c r="K7" s="18">
        <f>K5+K6</f>
        <v/>
      </c>
      <c r="L7" s="18">
        <f>L5+L6</f>
        <v/>
      </c>
      <c r="M7" s="18">
        <f>M5+M6</f>
        <v/>
      </c>
      <c r="N7" s="18">
        <f>N5+N6</f>
        <v/>
      </c>
      <c r="O7" s="18">
        <f>O5+O6</f>
        <v/>
      </c>
    </row>
    <row r="8">
      <c r="A8" s="5" t="inlineStr">
        <is>
          <t>Direct cost (drugs/consumables, net)</t>
        </is>
      </c>
      <c r="B8" s="12">
        <f>'Historical P&amp;L'!B25</f>
        <v/>
      </c>
      <c r="C8" s="12">
        <f>'Historical P&amp;L'!C25</f>
        <v/>
      </c>
      <c r="D8" s="12">
        <f>'Historical P&amp;L'!D25</f>
        <v/>
      </c>
      <c r="E8" s="12">
        <f>'Historical P&amp;L'!E25</f>
        <v/>
      </c>
      <c r="F8" s="12">
        <f>'Historical P&amp;L'!F25</f>
        <v/>
      </c>
      <c r="G8" s="12">
        <f>'Historical P&amp;L'!G25</f>
        <v/>
      </c>
      <c r="H8" s="12">
        <f>'Historical P&amp;L'!H25</f>
        <v/>
      </c>
      <c r="I8" s="12">
        <f>'Direct Cost GP'!I7</f>
        <v/>
      </c>
      <c r="J8" s="12">
        <f>'Direct Cost GP'!J7</f>
        <v/>
      </c>
      <c r="K8" s="12">
        <f>'Direct Cost GP'!K7</f>
        <v/>
      </c>
      <c r="L8" s="12">
        <f>'Direct Cost GP'!L7</f>
        <v/>
      </c>
      <c r="M8" s="12">
        <f>'Direct Cost GP'!M7</f>
        <v/>
      </c>
      <c r="N8" s="12">
        <f>'Direct Cost GP'!N7</f>
        <v/>
      </c>
      <c r="O8" s="12">
        <f>'Direct Cost GP'!O7</f>
        <v/>
      </c>
    </row>
    <row r="9">
      <c r="A9" s="5" t="inlineStr">
        <is>
          <t>Employee benefits expense</t>
        </is>
      </c>
      <c r="B9" s="12">
        <f>'Historical P&amp;L'!B11</f>
        <v/>
      </c>
      <c r="C9" s="12">
        <f>'Historical P&amp;L'!C11</f>
        <v/>
      </c>
      <c r="D9" s="12">
        <f>'Historical P&amp;L'!D11</f>
        <v/>
      </c>
      <c r="E9" s="12">
        <f>'Historical P&amp;L'!E11</f>
        <v/>
      </c>
      <c r="F9" s="12">
        <f>'Historical P&amp;L'!F11</f>
        <v/>
      </c>
      <c r="G9" s="12">
        <f>'Historical P&amp;L'!G11</f>
        <v/>
      </c>
      <c r="H9" s="12">
        <f>'Historical P&amp;L'!H11</f>
        <v/>
      </c>
      <c r="I9" s="12">
        <f>'Opex Build'!I7</f>
        <v/>
      </c>
      <c r="J9" s="12">
        <f>'Opex Build'!J7</f>
        <v/>
      </c>
      <c r="K9" s="12">
        <f>'Opex Build'!K7</f>
        <v/>
      </c>
      <c r="L9" s="12">
        <f>'Opex Build'!L7</f>
        <v/>
      </c>
      <c r="M9" s="12">
        <f>'Opex Build'!M7</f>
        <v/>
      </c>
      <c r="N9" s="12">
        <f>'Opex Build'!N7</f>
        <v/>
      </c>
      <c r="O9" s="12">
        <f>'Opex Build'!O7</f>
        <v/>
      </c>
    </row>
    <row r="10">
      <c r="A10" s="5" t="inlineStr">
        <is>
          <t>Professional &amp; consultancy fee</t>
        </is>
      </c>
      <c r="B10" s="12">
        <f>'Historical P&amp;L'!B12</f>
        <v/>
      </c>
      <c r="C10" s="12">
        <f>'Historical P&amp;L'!C12</f>
        <v/>
      </c>
      <c r="D10" s="12">
        <f>'Historical P&amp;L'!D12</f>
        <v/>
      </c>
      <c r="E10" s="12">
        <f>'Historical P&amp;L'!E12</f>
        <v/>
      </c>
      <c r="F10" s="12">
        <f>'Historical P&amp;L'!F12</f>
        <v/>
      </c>
      <c r="G10" s="12">
        <f>'Historical P&amp;L'!G12</f>
        <v/>
      </c>
      <c r="H10" s="12">
        <f>'Historical P&amp;L'!H12</f>
        <v/>
      </c>
      <c r="I10" s="12">
        <f>'Opex Build'!I9</f>
        <v/>
      </c>
      <c r="J10" s="12">
        <f>'Opex Build'!J9</f>
        <v/>
      </c>
      <c r="K10" s="12">
        <f>'Opex Build'!K9</f>
        <v/>
      </c>
      <c r="L10" s="12">
        <f>'Opex Build'!L9</f>
        <v/>
      </c>
      <c r="M10" s="12">
        <f>'Opex Build'!M9</f>
        <v/>
      </c>
      <c r="N10" s="12">
        <f>'Opex Build'!N9</f>
        <v/>
      </c>
      <c r="O10" s="12">
        <f>'Opex Build'!O9</f>
        <v/>
      </c>
    </row>
    <row r="11">
      <c r="A11" s="5" t="inlineStr">
        <is>
          <t>Other operating expenses</t>
        </is>
      </c>
      <c r="B11" s="12">
        <f>'Historical P&amp;L'!B13</f>
        <v/>
      </c>
      <c r="C11" s="12">
        <f>'Historical P&amp;L'!C13</f>
        <v/>
      </c>
      <c r="D11" s="12">
        <f>'Historical P&amp;L'!D13</f>
        <v/>
      </c>
      <c r="E11" s="12">
        <f>'Historical P&amp;L'!E13</f>
        <v/>
      </c>
      <c r="F11" s="12">
        <f>'Historical P&amp;L'!F13</f>
        <v/>
      </c>
      <c r="G11" s="12">
        <f>'Historical P&amp;L'!G13</f>
        <v/>
      </c>
      <c r="H11" s="12">
        <f>'Historical P&amp;L'!H13</f>
        <v/>
      </c>
      <c r="I11" s="12">
        <f>'Opex Build'!I11</f>
        <v/>
      </c>
      <c r="J11" s="12">
        <f>'Opex Build'!J11</f>
        <v/>
      </c>
      <c r="K11" s="12">
        <f>'Opex Build'!K11</f>
        <v/>
      </c>
      <c r="L11" s="12">
        <f>'Opex Build'!L11</f>
        <v/>
      </c>
      <c r="M11" s="12">
        <f>'Opex Build'!M11</f>
        <v/>
      </c>
      <c r="N11" s="12">
        <f>'Opex Build'!N11</f>
        <v/>
      </c>
      <c r="O11" s="12">
        <f>'Opex Build'!O11</f>
        <v/>
      </c>
    </row>
    <row r="12">
      <c r="A12" s="4" t="inlineStr">
        <is>
          <t>Analytical Gross Profit</t>
        </is>
      </c>
      <c r="B12" s="18">
        <f>B5-B8</f>
        <v/>
      </c>
      <c r="C12" s="18">
        <f>C5-C8</f>
        <v/>
      </c>
      <c r="D12" s="18">
        <f>D5-D8</f>
        <v/>
      </c>
      <c r="E12" s="18">
        <f>E5-E8</f>
        <v/>
      </c>
      <c r="F12" s="18">
        <f>F5-F8</f>
        <v/>
      </c>
      <c r="G12" s="18">
        <f>G5-G8</f>
        <v/>
      </c>
      <c r="H12" s="18">
        <f>H5-H8</f>
        <v/>
      </c>
      <c r="I12" s="18">
        <f>I5-I8</f>
        <v/>
      </c>
      <c r="J12" s="18">
        <f>J5-J8</f>
        <v/>
      </c>
      <c r="K12" s="18">
        <f>K5-K8</f>
        <v/>
      </c>
      <c r="L12" s="18">
        <f>L5-L8</f>
        <v/>
      </c>
      <c r="M12" s="18">
        <f>M5-M8</f>
        <v/>
      </c>
      <c r="N12" s="18">
        <f>N5-N8</f>
        <v/>
      </c>
      <c r="O12" s="18">
        <f>O5-O8</f>
        <v/>
      </c>
    </row>
    <row r="13">
      <c r="A13" s="22" t="inlineStr">
        <is>
          <t>EBITDA (excl. other income)</t>
        </is>
      </c>
      <c r="B13" s="23">
        <f>B5-B8-B9-B10-B11</f>
        <v/>
      </c>
      <c r="C13" s="23">
        <f>C5-C8-C9-C10-C11</f>
        <v/>
      </c>
      <c r="D13" s="23">
        <f>D5-D8-D9-D10-D11</f>
        <v/>
      </c>
      <c r="E13" s="23">
        <f>E5-E8-E9-E10-E11</f>
        <v/>
      </c>
      <c r="F13" s="23">
        <f>F5-F8-F9-F10-F11</f>
        <v/>
      </c>
      <c r="G13" s="23">
        <f>G5-G8-G9-G10-G11</f>
        <v/>
      </c>
      <c r="H13" s="23">
        <f>H5-H8-H9-H10-H11</f>
        <v/>
      </c>
      <c r="I13" s="23">
        <f>I5-I8-I9-I10-I11</f>
        <v/>
      </c>
      <c r="J13" s="23">
        <f>J5-J8-J9-J10-J11</f>
        <v/>
      </c>
      <c r="K13" s="23">
        <f>K5-K8-K9-K10-K11</f>
        <v/>
      </c>
      <c r="L13" s="23">
        <f>L5-L8-L9-L10-L11</f>
        <v/>
      </c>
      <c r="M13" s="23">
        <f>M5-M8-M9-M10-M11</f>
        <v/>
      </c>
      <c r="N13" s="23">
        <f>N5-N8-N9-N10-N11</f>
        <v/>
      </c>
      <c r="O13" s="23">
        <f>O5-O8-O9-O10-O11</f>
        <v/>
      </c>
    </row>
    <row r="14">
      <c r="A14" s="5" t="inlineStr">
        <is>
          <t xml:space="preserve">   EBITDA margin %</t>
        </is>
      </c>
      <c r="B14" s="24">
        <f>B13/B5</f>
        <v/>
      </c>
      <c r="C14" s="24">
        <f>C13/C5</f>
        <v/>
      </c>
      <c r="D14" s="24">
        <f>D13/D5</f>
        <v/>
      </c>
      <c r="E14" s="24">
        <f>E13/E5</f>
        <v/>
      </c>
      <c r="F14" s="24">
        <f>F13/F5</f>
        <v/>
      </c>
      <c r="G14" s="24">
        <f>G13/G5</f>
        <v/>
      </c>
      <c r="H14" s="24">
        <f>H13/H5</f>
        <v/>
      </c>
      <c r="I14" s="24">
        <f>I13/I5</f>
        <v/>
      </c>
      <c r="J14" s="24">
        <f>J13/J5</f>
        <v/>
      </c>
      <c r="K14" s="24">
        <f>K13/K5</f>
        <v/>
      </c>
      <c r="L14" s="24">
        <f>L13/L5</f>
        <v/>
      </c>
      <c r="M14" s="24">
        <f>M13/M5</f>
        <v/>
      </c>
      <c r="N14" s="24">
        <f>N13/N5</f>
        <v/>
      </c>
      <c r="O14" s="24">
        <f>O13/O5</f>
        <v/>
      </c>
    </row>
    <row r="15">
      <c r="A15" s="4" t="inlineStr">
        <is>
          <t>PBIDT (EBITDA + other income)</t>
        </is>
      </c>
      <c r="B15" s="18">
        <f>B13+B6</f>
        <v/>
      </c>
      <c r="C15" s="18">
        <f>C13+C6</f>
        <v/>
      </c>
      <c r="D15" s="18">
        <f>D13+D6</f>
        <v/>
      </c>
      <c r="E15" s="18">
        <f>E13+E6</f>
        <v/>
      </c>
      <c r="F15" s="18">
        <f>F13+F6</f>
        <v/>
      </c>
      <c r="G15" s="18">
        <f>G13+G6</f>
        <v/>
      </c>
      <c r="H15" s="18">
        <f>H13+H6</f>
        <v/>
      </c>
      <c r="I15" s="18">
        <f>I13+I6</f>
        <v/>
      </c>
      <c r="J15" s="18">
        <f>J13+J6</f>
        <v/>
      </c>
      <c r="K15" s="18">
        <f>K13+K6</f>
        <v/>
      </c>
      <c r="L15" s="18">
        <f>L13+L6</f>
        <v/>
      </c>
      <c r="M15" s="18">
        <f>M13+M6</f>
        <v/>
      </c>
      <c r="N15" s="18">
        <f>N13+N6</f>
        <v/>
      </c>
      <c r="O15" s="18">
        <f>O13+O6</f>
        <v/>
      </c>
    </row>
    <row r="16">
      <c r="A16" s="5" t="inlineStr">
        <is>
          <t>Depreciation &amp; amortisation</t>
        </is>
      </c>
      <c r="B16" s="12">
        <f>'Historical P&amp;L'!B15</f>
        <v/>
      </c>
      <c r="C16" s="12">
        <f>'Historical P&amp;L'!C15</f>
        <v/>
      </c>
      <c r="D16" s="12">
        <f>'Historical P&amp;L'!D15</f>
        <v/>
      </c>
      <c r="E16" s="12">
        <f>'Historical P&amp;L'!E15</f>
        <v/>
      </c>
      <c r="F16" s="12">
        <f>'Historical P&amp;L'!F15</f>
        <v/>
      </c>
      <c r="G16" s="12">
        <f>'Historical P&amp;L'!G15</f>
        <v/>
      </c>
      <c r="H16" s="12">
        <f>'Historical P&amp;L'!H15</f>
        <v/>
      </c>
      <c r="I16" s="12">
        <f>'PPE Depreciation'!I18</f>
        <v/>
      </c>
      <c r="J16" s="12">
        <f>'PPE Depreciation'!J18</f>
        <v/>
      </c>
      <c r="K16" s="12">
        <f>'PPE Depreciation'!K18</f>
        <v/>
      </c>
      <c r="L16" s="12">
        <f>'PPE Depreciation'!L18</f>
        <v/>
      </c>
      <c r="M16" s="12">
        <f>'PPE Depreciation'!M18</f>
        <v/>
      </c>
      <c r="N16" s="12">
        <f>'PPE Depreciation'!N18</f>
        <v/>
      </c>
      <c r="O16" s="12">
        <f>'PPE Depreciation'!O18</f>
        <v/>
      </c>
    </row>
    <row r="17">
      <c r="A17" s="4" t="inlineStr">
        <is>
          <t>EBIT</t>
        </is>
      </c>
      <c r="B17" s="18">
        <f>B15-B16</f>
        <v/>
      </c>
      <c r="C17" s="18">
        <f>C15-C16</f>
        <v/>
      </c>
      <c r="D17" s="18">
        <f>D15-D16</f>
        <v/>
      </c>
      <c r="E17" s="18">
        <f>E15-E16</f>
        <v/>
      </c>
      <c r="F17" s="18">
        <f>F15-F16</f>
        <v/>
      </c>
      <c r="G17" s="18">
        <f>G15-G16</f>
        <v/>
      </c>
      <c r="H17" s="18">
        <f>H15-H16</f>
        <v/>
      </c>
      <c r="I17" s="18">
        <f>I15-I16</f>
        <v/>
      </c>
      <c r="J17" s="18">
        <f>J15-J16</f>
        <v/>
      </c>
      <c r="K17" s="18">
        <f>K15-K16</f>
        <v/>
      </c>
      <c r="L17" s="18">
        <f>L15-L16</f>
        <v/>
      </c>
      <c r="M17" s="18">
        <f>M15-M16</f>
        <v/>
      </c>
      <c r="N17" s="18">
        <f>N15-N16</f>
        <v/>
      </c>
      <c r="O17" s="18">
        <f>O15-O16</f>
        <v/>
      </c>
    </row>
    <row r="18">
      <c r="A18" s="5" t="inlineStr">
        <is>
          <t>Finance costs</t>
        </is>
      </c>
      <c r="B18" s="12">
        <f>'Historical P&amp;L'!B14</f>
        <v/>
      </c>
      <c r="C18" s="12">
        <f>'Historical P&amp;L'!C14</f>
        <v/>
      </c>
      <c r="D18" s="12">
        <f>'Historical P&amp;L'!D14</f>
        <v/>
      </c>
      <c r="E18" s="12">
        <f>'Historical P&amp;L'!E14</f>
        <v/>
      </c>
      <c r="F18" s="12">
        <f>'Historical P&amp;L'!F14</f>
        <v/>
      </c>
      <c r="G18" s="12">
        <f>'Historical P&amp;L'!G14</f>
        <v/>
      </c>
      <c r="H18" s="12">
        <f>'Historical P&amp;L'!H14</f>
        <v/>
      </c>
      <c r="I18" s="12">
        <f>'Debt Schedule'!I10+'Lease Schedule'!I7</f>
        <v/>
      </c>
      <c r="J18" s="12">
        <f>'Debt Schedule'!J10+'Lease Schedule'!J7</f>
        <v/>
      </c>
      <c r="K18" s="12">
        <f>'Debt Schedule'!K10+'Lease Schedule'!K7</f>
        <v/>
      </c>
      <c r="L18" s="12">
        <f>'Debt Schedule'!L10+'Lease Schedule'!L7</f>
        <v/>
      </c>
      <c r="M18" s="12">
        <f>'Debt Schedule'!M10+'Lease Schedule'!M7</f>
        <v/>
      </c>
      <c r="N18" s="12">
        <f>'Debt Schedule'!N10+'Lease Schedule'!N7</f>
        <v/>
      </c>
      <c r="O18" s="12">
        <f>'Debt Schedule'!O10+'Lease Schedule'!O7</f>
        <v/>
      </c>
    </row>
    <row r="19">
      <c r="A19" s="4" t="inlineStr">
        <is>
          <t>PBT before exceptional</t>
        </is>
      </c>
      <c r="B19" s="18">
        <f>B17-B18</f>
        <v/>
      </c>
      <c r="C19" s="18">
        <f>C17-C18</f>
        <v/>
      </c>
      <c r="D19" s="18">
        <f>D17-D18</f>
        <v/>
      </c>
      <c r="E19" s="18">
        <f>E17-E18</f>
        <v/>
      </c>
      <c r="F19" s="18">
        <f>F17-F18</f>
        <v/>
      </c>
      <c r="G19" s="18">
        <f>G17-G18</f>
        <v/>
      </c>
      <c r="H19" s="18">
        <f>H17-H18</f>
        <v/>
      </c>
      <c r="I19" s="18">
        <f>I17-I18</f>
        <v/>
      </c>
      <c r="J19" s="18">
        <f>J17-J18</f>
        <v/>
      </c>
      <c r="K19" s="18">
        <f>K17-K18</f>
        <v/>
      </c>
      <c r="L19" s="18">
        <f>L17-L18</f>
        <v/>
      </c>
      <c r="M19" s="18">
        <f>M17-M18</f>
        <v/>
      </c>
      <c r="N19" s="18">
        <f>N17-N18</f>
        <v/>
      </c>
      <c r="O19" s="18">
        <f>O17-O18</f>
        <v/>
      </c>
    </row>
    <row r="20">
      <c r="A20" s="5" t="inlineStr">
        <is>
          <t>Exceptional items</t>
        </is>
      </c>
      <c r="B20" s="12">
        <f>'Historical P&amp;L'!B18</f>
        <v/>
      </c>
      <c r="C20" s="12">
        <f>'Historical P&amp;L'!C18</f>
        <v/>
      </c>
      <c r="D20" s="12">
        <f>'Historical P&amp;L'!D18</f>
        <v/>
      </c>
      <c r="E20" s="12">
        <f>'Historical P&amp;L'!E18</f>
        <v/>
      </c>
      <c r="F20" s="12">
        <f>'Historical P&amp;L'!F18</f>
        <v/>
      </c>
      <c r="G20" s="12">
        <f>'Historical P&amp;L'!G18</f>
        <v/>
      </c>
      <c r="H20" s="12">
        <f>'Historical P&amp;L'!H18</f>
        <v/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</row>
    <row r="21">
      <c r="A21" s="4" t="inlineStr">
        <is>
          <t>Profit before tax</t>
        </is>
      </c>
      <c r="B21" s="18">
        <f>B19+B20</f>
        <v/>
      </c>
      <c r="C21" s="18">
        <f>C19+C20</f>
        <v/>
      </c>
      <c r="D21" s="18">
        <f>D19+D20</f>
        <v/>
      </c>
      <c r="E21" s="18">
        <f>E19+E20</f>
        <v/>
      </c>
      <c r="F21" s="18">
        <f>F19+F20</f>
        <v/>
      </c>
      <c r="G21" s="18">
        <f>G19+G20</f>
        <v/>
      </c>
      <c r="H21" s="18">
        <f>H19+H20</f>
        <v/>
      </c>
      <c r="I21" s="18">
        <f>I19+I20</f>
        <v/>
      </c>
      <c r="J21" s="18">
        <f>J19+J20</f>
        <v/>
      </c>
      <c r="K21" s="18">
        <f>K19+K20</f>
        <v/>
      </c>
      <c r="L21" s="18">
        <f>L19+L20</f>
        <v/>
      </c>
      <c r="M21" s="18">
        <f>M19+M20</f>
        <v/>
      </c>
      <c r="N21" s="18">
        <f>N19+N20</f>
        <v/>
      </c>
      <c r="O21" s="18">
        <f>O19+O20</f>
        <v/>
      </c>
    </row>
    <row r="22">
      <c r="A22" s="5" t="inlineStr">
        <is>
          <t>Tax expense</t>
        </is>
      </c>
      <c r="B22" s="12">
        <f>'Historical P&amp;L'!B20</f>
        <v/>
      </c>
      <c r="C22" s="12">
        <f>'Historical P&amp;L'!C20</f>
        <v/>
      </c>
      <c r="D22" s="12">
        <f>'Historical P&amp;L'!D20</f>
        <v/>
      </c>
      <c r="E22" s="12">
        <f>'Historical P&amp;L'!E20</f>
        <v/>
      </c>
      <c r="F22" s="12">
        <f>'Historical P&amp;L'!F20</f>
        <v/>
      </c>
      <c r="G22" s="12">
        <f>'Historical P&amp;L'!G20</f>
        <v/>
      </c>
      <c r="H22" s="12">
        <f>'Historical P&amp;L'!H20</f>
        <v/>
      </c>
      <c r="I22" s="12">
        <f>'Tax Schedule'!I11</f>
        <v/>
      </c>
      <c r="J22" s="12">
        <f>'Tax Schedule'!J11</f>
        <v/>
      </c>
      <c r="K22" s="12">
        <f>'Tax Schedule'!K11</f>
        <v/>
      </c>
      <c r="L22" s="12">
        <f>'Tax Schedule'!L11</f>
        <v/>
      </c>
      <c r="M22" s="12">
        <f>'Tax Schedule'!M11</f>
        <v/>
      </c>
      <c r="N22" s="12">
        <f>'Tax Schedule'!N11</f>
        <v/>
      </c>
      <c r="O22" s="12">
        <f>'Tax Schedule'!O11</f>
        <v/>
      </c>
    </row>
    <row r="23">
      <c r="A23" s="5" t="inlineStr">
        <is>
          <t>PAT before share of associate</t>
        </is>
      </c>
      <c r="B23" s="21">
        <f>B21-B22</f>
        <v/>
      </c>
      <c r="C23" s="21">
        <f>C21-C22</f>
        <v/>
      </c>
      <c r="D23" s="21">
        <f>D21-D22</f>
        <v/>
      </c>
      <c r="E23" s="21">
        <f>E21-E22</f>
        <v/>
      </c>
      <c r="F23" s="21">
        <f>F21-F22</f>
        <v/>
      </c>
      <c r="G23" s="21">
        <f>G21-G22</f>
        <v/>
      </c>
      <c r="H23" s="21">
        <f>H21-H22</f>
        <v/>
      </c>
      <c r="I23" s="21">
        <f>I21-I22</f>
        <v/>
      </c>
      <c r="J23" s="21">
        <f>J21-J22</f>
        <v/>
      </c>
      <c r="K23" s="21">
        <f>K21-K22</f>
        <v/>
      </c>
      <c r="L23" s="21">
        <f>L21-L22</f>
        <v/>
      </c>
      <c r="M23" s="21">
        <f>M21-M22</f>
        <v/>
      </c>
      <c r="N23" s="21">
        <f>N21-N22</f>
        <v/>
      </c>
      <c r="O23" s="21">
        <f>O21-O22</f>
        <v/>
      </c>
    </row>
    <row r="24">
      <c r="A24" s="5" t="inlineStr">
        <is>
          <t>Share of profit in associate</t>
        </is>
      </c>
      <c r="B24" s="12">
        <f>'Historical P&amp;L'!B22</f>
        <v/>
      </c>
      <c r="C24" s="12">
        <f>'Historical P&amp;L'!C22</f>
        <v/>
      </c>
      <c r="D24" s="12">
        <f>'Historical P&amp;L'!D22</f>
        <v/>
      </c>
      <c r="E24" s="12">
        <f>'Historical P&amp;L'!E22</f>
        <v/>
      </c>
      <c r="F24" s="12">
        <f>'Historical P&amp;L'!F22</f>
        <v/>
      </c>
      <c r="G24" s="12">
        <f>'Historical P&amp;L'!G22</f>
        <v/>
      </c>
      <c r="H24" s="12">
        <f>'Historical P&amp;L'!H22</f>
        <v/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</row>
    <row r="25">
      <c r="A25" s="22" t="inlineStr">
        <is>
          <t>Profit for the year (PAT)</t>
        </is>
      </c>
      <c r="B25" s="23">
        <f>B23+B24</f>
        <v/>
      </c>
      <c r="C25" s="23">
        <f>C23+C24</f>
        <v/>
      </c>
      <c r="D25" s="23">
        <f>D23+D24</f>
        <v/>
      </c>
      <c r="E25" s="23">
        <f>E23+E24</f>
        <v/>
      </c>
      <c r="F25" s="23">
        <f>F23+F24</f>
        <v/>
      </c>
      <c r="G25" s="23">
        <f>G23+G24</f>
        <v/>
      </c>
      <c r="H25" s="23">
        <f>H23+H24</f>
        <v/>
      </c>
      <c r="I25" s="23">
        <f>I23+I24</f>
        <v/>
      </c>
      <c r="J25" s="23">
        <f>J23+J24</f>
        <v/>
      </c>
      <c r="K25" s="23">
        <f>K23+K24</f>
        <v/>
      </c>
      <c r="L25" s="23">
        <f>L23+L24</f>
        <v/>
      </c>
      <c r="M25" s="23">
        <f>M23+M24</f>
        <v/>
      </c>
      <c r="N25" s="23">
        <f>N23+N24</f>
        <v/>
      </c>
      <c r="O25" s="23">
        <f>O23+O24</f>
        <v/>
      </c>
    </row>
    <row r="26">
      <c r="A26" s="5" t="inlineStr">
        <is>
          <t xml:space="preserve">   PAT margin %</t>
        </is>
      </c>
      <c r="B26" s="24">
        <f>B25/B5</f>
        <v/>
      </c>
      <c r="C26" s="24">
        <f>C25/C5</f>
        <v/>
      </c>
      <c r="D26" s="24">
        <f>D25/D5</f>
        <v/>
      </c>
      <c r="E26" s="24">
        <f>E25/E5</f>
        <v/>
      </c>
      <c r="F26" s="24">
        <f>F25/F5</f>
        <v/>
      </c>
      <c r="G26" s="24">
        <f>G25/G5</f>
        <v/>
      </c>
      <c r="H26" s="24">
        <f>H25/H5</f>
        <v/>
      </c>
      <c r="I26" s="24">
        <f>I25/I5</f>
        <v/>
      </c>
      <c r="J26" s="24">
        <f>J25/J5</f>
        <v/>
      </c>
      <c r="K26" s="24">
        <f>K25/K5</f>
        <v/>
      </c>
      <c r="L26" s="24">
        <f>L25/L5</f>
        <v/>
      </c>
      <c r="M26" s="24">
        <f>M25/M5</f>
        <v/>
      </c>
      <c r="N26" s="24">
        <f>N25/N5</f>
        <v/>
      </c>
      <c r="O26" s="24">
        <f>O25/O5</f>
        <v/>
      </c>
    </row>
    <row r="27">
      <c r="A27" s="5" t="inlineStr">
        <is>
          <t>EPS (Rs)</t>
        </is>
      </c>
      <c r="B27" s="7">
        <f>B25/'Assumptions'!I44</f>
        <v/>
      </c>
      <c r="C27" s="7">
        <f>C25/'Assumptions'!I44</f>
        <v/>
      </c>
      <c r="D27" s="7">
        <f>D25/'Assumptions'!I44</f>
        <v/>
      </c>
      <c r="E27" s="7">
        <f>E25/'Assumptions'!I44</f>
        <v/>
      </c>
      <c r="F27" s="7">
        <f>F25/'Assumptions'!I44</f>
        <v/>
      </c>
      <c r="G27" s="7">
        <f>G25/'Assumptions'!I44</f>
        <v/>
      </c>
      <c r="H27" s="7">
        <f>H25/'Assumptions'!I44</f>
        <v/>
      </c>
      <c r="I27" s="7">
        <f>I25/'Assumptions'!I44</f>
        <v/>
      </c>
      <c r="J27" s="7">
        <f>J25/'Assumptions'!I44</f>
        <v/>
      </c>
      <c r="K27" s="7">
        <f>K25/'Assumptions'!I44</f>
        <v/>
      </c>
      <c r="L27" s="7">
        <f>L25/'Assumptions'!I44</f>
        <v/>
      </c>
      <c r="M27" s="7">
        <f>M25/'Assumptions'!I44</f>
        <v/>
      </c>
      <c r="N27" s="7">
        <f>N25/'Assumptions'!I44</f>
        <v/>
      </c>
      <c r="O27" s="7">
        <f>O25/'Assumptions'!I44</f>
        <v/>
      </c>
    </row>
    <row r="28">
      <c r="A28" s="5" t="inlineStr">
        <is>
          <t>Revenue growth %</t>
        </is>
      </c>
      <c r="C28" s="24">
        <f>C5/B5-1</f>
        <v/>
      </c>
      <c r="D28" s="24">
        <f>D5/C5-1</f>
        <v/>
      </c>
      <c r="E28" s="24">
        <f>E5/D5-1</f>
        <v/>
      </c>
      <c r="F28" s="24">
        <f>F5/E5-1</f>
        <v/>
      </c>
      <c r="G28" s="24">
        <f>G5/F5-1</f>
        <v/>
      </c>
      <c r="H28" s="24">
        <f>H5/G5-1</f>
        <v/>
      </c>
      <c r="I28" s="24">
        <f>I5/H5-1</f>
        <v/>
      </c>
      <c r="J28" s="24">
        <f>J5/I5-1</f>
        <v/>
      </c>
      <c r="K28" s="24">
        <f>K5/J5-1</f>
        <v/>
      </c>
      <c r="L28" s="24">
        <f>L5/K5-1</f>
        <v/>
      </c>
      <c r="M28" s="24">
        <f>M5/L5-1</f>
        <v/>
      </c>
      <c r="N28" s="24">
        <f>N5/M5-1</f>
        <v/>
      </c>
      <c r="O28" s="24">
        <f>O5/N5-1</f>
        <v/>
      </c>
    </row>
  </sheetData>
  <mergeCells count="1">
    <mergeCell ref="A1:O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22.  INTEGRATED BALANCE SHEET  (FY20A-FY33E)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19" t="inlineStr">
        <is>
          <t>ASSETS - Non-current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A6" s="5" t="inlineStr">
        <is>
          <t>Property, plant &amp; equipment</t>
        </is>
      </c>
      <c r="B6" s="12">
        <f>'Historical BS'!B6</f>
        <v/>
      </c>
      <c r="C6" s="12">
        <f>'Historical BS'!C6</f>
        <v/>
      </c>
      <c r="D6" s="12">
        <f>'Historical BS'!D6</f>
        <v/>
      </c>
      <c r="E6" s="12">
        <f>'Historical BS'!E6</f>
        <v/>
      </c>
      <c r="F6" s="12">
        <f>'Historical BS'!F6</f>
        <v/>
      </c>
      <c r="G6" s="12">
        <f>'Historical BS'!G6</f>
        <v/>
      </c>
      <c r="H6" s="12">
        <f>'Historical BS'!H6</f>
        <v/>
      </c>
      <c r="I6" s="12">
        <f>'PPE Depreciation'!I9</f>
        <v/>
      </c>
      <c r="J6" s="12">
        <f>'PPE Depreciation'!J9</f>
        <v/>
      </c>
      <c r="K6" s="12">
        <f>'PPE Depreciation'!K9</f>
        <v/>
      </c>
      <c r="L6" s="12">
        <f>'PPE Depreciation'!L9</f>
        <v/>
      </c>
      <c r="M6" s="12">
        <f>'PPE Depreciation'!M9</f>
        <v/>
      </c>
      <c r="N6" s="12">
        <f>'PPE Depreciation'!N9</f>
        <v/>
      </c>
      <c r="O6" s="12">
        <f>'PPE Depreciation'!O9</f>
        <v/>
      </c>
    </row>
    <row r="7">
      <c r="A7" s="5" t="inlineStr">
        <is>
          <t>Right-of-use assets</t>
        </is>
      </c>
      <c r="B7" s="12">
        <f>'Historical BS'!B7</f>
        <v/>
      </c>
      <c r="C7" s="12">
        <f>'Historical BS'!C7</f>
        <v/>
      </c>
      <c r="D7" s="12">
        <f>'Historical BS'!D7</f>
        <v/>
      </c>
      <c r="E7" s="12">
        <f>'Historical BS'!E7</f>
        <v/>
      </c>
      <c r="F7" s="12">
        <f>'Historical BS'!F7</f>
        <v/>
      </c>
      <c r="G7" s="12">
        <f>'Historical BS'!G7</f>
        <v/>
      </c>
      <c r="H7" s="12">
        <f>'Historical BS'!H7</f>
        <v/>
      </c>
      <c r="I7" s="12">
        <f>'PPE Depreciation'!I14</f>
        <v/>
      </c>
      <c r="J7" s="12">
        <f>'PPE Depreciation'!J14</f>
        <v/>
      </c>
      <c r="K7" s="12">
        <f>'PPE Depreciation'!K14</f>
        <v/>
      </c>
      <c r="L7" s="12">
        <f>'PPE Depreciation'!L14</f>
        <v/>
      </c>
      <c r="M7" s="12">
        <f>'PPE Depreciation'!M14</f>
        <v/>
      </c>
      <c r="N7" s="12">
        <f>'PPE Depreciation'!N14</f>
        <v/>
      </c>
      <c r="O7" s="12">
        <f>'PPE Depreciation'!O14</f>
        <v/>
      </c>
    </row>
    <row r="8">
      <c r="A8" s="5" t="inlineStr">
        <is>
          <t>Capital work-in-progress</t>
        </is>
      </c>
      <c r="B8" s="12">
        <f>'Historical BS'!B8</f>
        <v/>
      </c>
      <c r="C8" s="12">
        <f>'Historical BS'!C8</f>
        <v/>
      </c>
      <c r="D8" s="12">
        <f>'Historical BS'!D8</f>
        <v/>
      </c>
      <c r="E8" s="12">
        <f>'Historical BS'!E8</f>
        <v/>
      </c>
      <c r="F8" s="12">
        <f>'Historical BS'!F8</f>
        <v/>
      </c>
      <c r="G8" s="12">
        <f>'Historical BS'!G8</f>
        <v/>
      </c>
      <c r="H8" s="12">
        <f>'Historical BS'!H8</f>
        <v/>
      </c>
      <c r="I8" s="12">
        <f>'Historical BS'!H8</f>
        <v/>
      </c>
      <c r="J8" s="12">
        <f>'Historical BS'!H8</f>
        <v/>
      </c>
      <c r="K8" s="12">
        <f>'Historical BS'!H8</f>
        <v/>
      </c>
      <c r="L8" s="12">
        <f>'Historical BS'!H8</f>
        <v/>
      </c>
      <c r="M8" s="12">
        <f>'Historical BS'!H8</f>
        <v/>
      </c>
      <c r="N8" s="12">
        <f>'Historical BS'!H8</f>
        <v/>
      </c>
      <c r="O8" s="12">
        <f>'Historical BS'!H8</f>
        <v/>
      </c>
    </row>
    <row r="9">
      <c r="A9" s="5" t="inlineStr">
        <is>
          <t>Investment property</t>
        </is>
      </c>
      <c r="B9" s="12">
        <f>'Historical BS'!B9</f>
        <v/>
      </c>
      <c r="C9" s="12">
        <f>'Historical BS'!C9</f>
        <v/>
      </c>
      <c r="D9" s="12">
        <f>'Historical BS'!D9</f>
        <v/>
      </c>
      <c r="E9" s="12">
        <f>'Historical BS'!E9</f>
        <v/>
      </c>
      <c r="F9" s="12">
        <f>'Historical BS'!F9</f>
        <v/>
      </c>
      <c r="G9" s="12">
        <f>'Historical BS'!G9</f>
        <v/>
      </c>
      <c r="H9" s="12">
        <f>'Historical BS'!H9</f>
        <v/>
      </c>
      <c r="I9" s="12">
        <f>'Historical BS'!H9</f>
        <v/>
      </c>
      <c r="J9" s="12">
        <f>'Historical BS'!H9</f>
        <v/>
      </c>
      <c r="K9" s="12">
        <f>'Historical BS'!H9</f>
        <v/>
      </c>
      <c r="L9" s="12">
        <f>'Historical BS'!H9</f>
        <v/>
      </c>
      <c r="M9" s="12">
        <f>'Historical BS'!H9</f>
        <v/>
      </c>
      <c r="N9" s="12">
        <f>'Historical BS'!H9</f>
        <v/>
      </c>
      <c r="O9" s="12">
        <f>'Historical BS'!H9</f>
        <v/>
      </c>
    </row>
    <row r="10">
      <c r="A10" s="5" t="inlineStr">
        <is>
          <t>Goodwill</t>
        </is>
      </c>
      <c r="B10" s="12">
        <f>'Historical BS'!B10</f>
        <v/>
      </c>
      <c r="C10" s="12">
        <f>'Historical BS'!C10</f>
        <v/>
      </c>
      <c r="D10" s="12">
        <f>'Historical BS'!D10</f>
        <v/>
      </c>
      <c r="E10" s="12">
        <f>'Historical BS'!E10</f>
        <v/>
      </c>
      <c r="F10" s="12">
        <f>'Historical BS'!F10</f>
        <v/>
      </c>
      <c r="G10" s="12">
        <f>'Historical BS'!G10</f>
        <v/>
      </c>
      <c r="H10" s="12">
        <f>'Historical BS'!H10</f>
        <v/>
      </c>
      <c r="I10" s="12">
        <f>'Historical BS'!H10</f>
        <v/>
      </c>
      <c r="J10" s="12">
        <f>'Historical BS'!H10</f>
        <v/>
      </c>
      <c r="K10" s="12">
        <f>'Historical BS'!H10</f>
        <v/>
      </c>
      <c r="L10" s="12">
        <f>'Historical BS'!H10</f>
        <v/>
      </c>
      <c r="M10" s="12">
        <f>'Historical BS'!H10</f>
        <v/>
      </c>
      <c r="N10" s="12">
        <f>'Historical BS'!H10</f>
        <v/>
      </c>
      <c r="O10" s="12">
        <f>'Historical BS'!H10</f>
        <v/>
      </c>
    </row>
    <row r="11">
      <c r="A11" s="5" t="inlineStr">
        <is>
          <t>Other intangible assets</t>
        </is>
      </c>
      <c r="B11" s="12">
        <f>'Historical BS'!B11</f>
        <v/>
      </c>
      <c r="C11" s="12">
        <f>'Historical BS'!C11</f>
        <v/>
      </c>
      <c r="D11" s="12">
        <f>'Historical BS'!D11</f>
        <v/>
      </c>
      <c r="E11" s="12">
        <f>'Historical BS'!E11</f>
        <v/>
      </c>
      <c r="F11" s="12">
        <f>'Historical BS'!F11</f>
        <v/>
      </c>
      <c r="G11" s="12">
        <f>'Historical BS'!G11</f>
        <v/>
      </c>
      <c r="H11" s="12">
        <f>'Historical BS'!H11</f>
        <v/>
      </c>
      <c r="I11" s="12">
        <f>'PPE Depreciation'!I17</f>
        <v/>
      </c>
      <c r="J11" s="12">
        <f>'PPE Depreciation'!J17</f>
        <v/>
      </c>
      <c r="K11" s="12">
        <f>'PPE Depreciation'!K17</f>
        <v/>
      </c>
      <c r="L11" s="12">
        <f>'PPE Depreciation'!L17</f>
        <v/>
      </c>
      <c r="M11" s="12">
        <f>'PPE Depreciation'!M17</f>
        <v/>
      </c>
      <c r="N11" s="12">
        <f>'PPE Depreciation'!N17</f>
        <v/>
      </c>
      <c r="O11" s="12">
        <f>'PPE Depreciation'!O17</f>
        <v/>
      </c>
    </row>
    <row r="12">
      <c r="A12" s="5" t="inlineStr">
        <is>
          <t>Intangible assets under development</t>
        </is>
      </c>
      <c r="B12" s="12">
        <f>'Historical BS'!B12</f>
        <v/>
      </c>
      <c r="C12" s="12">
        <f>'Historical BS'!C12</f>
        <v/>
      </c>
      <c r="D12" s="12">
        <f>'Historical BS'!D12</f>
        <v/>
      </c>
      <c r="E12" s="12">
        <f>'Historical BS'!E12</f>
        <v/>
      </c>
      <c r="F12" s="12">
        <f>'Historical BS'!F12</f>
        <v/>
      </c>
      <c r="G12" s="12">
        <f>'Historical BS'!G12</f>
        <v/>
      </c>
      <c r="H12" s="12">
        <f>'Historical BS'!H12</f>
        <v/>
      </c>
      <c r="I12" s="12">
        <f>'Historical BS'!H12</f>
        <v/>
      </c>
      <c r="J12" s="12">
        <f>'Historical BS'!H12</f>
        <v/>
      </c>
      <c r="K12" s="12">
        <f>'Historical BS'!H12</f>
        <v/>
      </c>
      <c r="L12" s="12">
        <f>'Historical BS'!H12</f>
        <v/>
      </c>
      <c r="M12" s="12">
        <f>'Historical BS'!H12</f>
        <v/>
      </c>
      <c r="N12" s="12">
        <f>'Historical BS'!H12</f>
        <v/>
      </c>
      <c r="O12" s="12">
        <f>'Historical BS'!H12</f>
        <v/>
      </c>
    </row>
    <row r="13">
      <c r="A13" s="5" t="inlineStr">
        <is>
          <t>Investments (non-current)</t>
        </is>
      </c>
      <c r="B13" s="12">
        <f>'Historical BS'!B13</f>
        <v/>
      </c>
      <c r="C13" s="12">
        <f>'Historical BS'!C13</f>
        <v/>
      </c>
      <c r="D13" s="12">
        <f>'Historical BS'!D13</f>
        <v/>
      </c>
      <c r="E13" s="12">
        <f>'Historical BS'!E13</f>
        <v/>
      </c>
      <c r="F13" s="12">
        <f>'Historical BS'!F13</f>
        <v/>
      </c>
      <c r="G13" s="12">
        <f>'Historical BS'!G13</f>
        <v/>
      </c>
      <c r="H13" s="12">
        <f>'Historical BS'!H13</f>
        <v/>
      </c>
      <c r="I13" s="12">
        <f>'Historical BS'!H13</f>
        <v/>
      </c>
      <c r="J13" s="12">
        <f>'Historical BS'!H13</f>
        <v/>
      </c>
      <c r="K13" s="12">
        <f>'Historical BS'!H13</f>
        <v/>
      </c>
      <c r="L13" s="12">
        <f>'Historical BS'!H13</f>
        <v/>
      </c>
      <c r="M13" s="12">
        <f>'Historical BS'!H13</f>
        <v/>
      </c>
      <c r="N13" s="12">
        <f>'Historical BS'!H13</f>
        <v/>
      </c>
      <c r="O13" s="12">
        <f>'Historical BS'!H13</f>
        <v/>
      </c>
    </row>
    <row r="14">
      <c r="A14" s="5" t="inlineStr">
        <is>
          <t>Trade receivables (non-current)</t>
        </is>
      </c>
      <c r="B14" s="12">
        <f>'Historical BS'!B14</f>
        <v/>
      </c>
      <c r="C14" s="12">
        <f>'Historical BS'!C14</f>
        <v/>
      </c>
      <c r="D14" s="12">
        <f>'Historical BS'!D14</f>
        <v/>
      </c>
      <c r="E14" s="12">
        <f>'Historical BS'!E14</f>
        <v/>
      </c>
      <c r="F14" s="12">
        <f>'Historical BS'!F14</f>
        <v/>
      </c>
      <c r="G14" s="12">
        <f>'Historical BS'!G14</f>
        <v/>
      </c>
      <c r="H14" s="12">
        <f>'Historical BS'!H14</f>
        <v/>
      </c>
      <c r="I14" s="12">
        <f>'Historical BS'!H14</f>
        <v/>
      </c>
      <c r="J14" s="12">
        <f>'Historical BS'!H14</f>
        <v/>
      </c>
      <c r="K14" s="12">
        <f>'Historical BS'!H14</f>
        <v/>
      </c>
      <c r="L14" s="12">
        <f>'Historical BS'!H14</f>
        <v/>
      </c>
      <c r="M14" s="12">
        <f>'Historical BS'!H14</f>
        <v/>
      </c>
      <c r="N14" s="12">
        <f>'Historical BS'!H14</f>
        <v/>
      </c>
      <c r="O14" s="12">
        <f>'Historical BS'!H14</f>
        <v/>
      </c>
    </row>
    <row r="15">
      <c r="A15" s="5" t="inlineStr">
        <is>
          <t>Loans (non-current)</t>
        </is>
      </c>
      <c r="B15" s="12">
        <f>'Historical BS'!B15</f>
        <v/>
      </c>
      <c r="C15" s="12">
        <f>'Historical BS'!C15</f>
        <v/>
      </c>
      <c r="D15" s="12">
        <f>'Historical BS'!D15</f>
        <v/>
      </c>
      <c r="E15" s="12">
        <f>'Historical BS'!E15</f>
        <v/>
      </c>
      <c r="F15" s="12">
        <f>'Historical BS'!F15</f>
        <v/>
      </c>
      <c r="G15" s="12">
        <f>'Historical BS'!G15</f>
        <v/>
      </c>
      <c r="H15" s="12">
        <f>'Historical BS'!H15</f>
        <v/>
      </c>
      <c r="I15" s="12">
        <f>'Historical BS'!H15</f>
        <v/>
      </c>
      <c r="J15" s="12">
        <f>'Historical BS'!H15</f>
        <v/>
      </c>
      <c r="K15" s="12">
        <f>'Historical BS'!H15</f>
        <v/>
      </c>
      <c r="L15" s="12">
        <f>'Historical BS'!H15</f>
        <v/>
      </c>
      <c r="M15" s="12">
        <f>'Historical BS'!H15</f>
        <v/>
      </c>
      <c r="N15" s="12">
        <f>'Historical BS'!H15</f>
        <v/>
      </c>
      <c r="O15" s="12">
        <f>'Historical BS'!H15</f>
        <v/>
      </c>
    </row>
    <row r="16">
      <c r="A16" s="5" t="inlineStr">
        <is>
          <t>Other financial assets (non-current)</t>
        </is>
      </c>
      <c r="B16" s="12">
        <f>'Historical BS'!B16</f>
        <v/>
      </c>
      <c r="C16" s="12">
        <f>'Historical BS'!C16</f>
        <v/>
      </c>
      <c r="D16" s="12">
        <f>'Historical BS'!D16</f>
        <v/>
      </c>
      <c r="E16" s="12">
        <f>'Historical BS'!E16</f>
        <v/>
      </c>
      <c r="F16" s="12">
        <f>'Historical BS'!F16</f>
        <v/>
      </c>
      <c r="G16" s="12">
        <f>'Historical BS'!G16</f>
        <v/>
      </c>
      <c r="H16" s="12">
        <f>'Historical BS'!H16</f>
        <v/>
      </c>
      <c r="I16" s="12">
        <f>'Historical BS'!H16</f>
        <v/>
      </c>
      <c r="J16" s="12">
        <f>'Historical BS'!H16</f>
        <v/>
      </c>
      <c r="K16" s="12">
        <f>'Historical BS'!H16</f>
        <v/>
      </c>
      <c r="L16" s="12">
        <f>'Historical BS'!H16</f>
        <v/>
      </c>
      <c r="M16" s="12">
        <f>'Historical BS'!H16</f>
        <v/>
      </c>
      <c r="N16" s="12">
        <f>'Historical BS'!H16</f>
        <v/>
      </c>
      <c r="O16" s="12">
        <f>'Historical BS'!H16</f>
        <v/>
      </c>
    </row>
    <row r="17">
      <c r="A17" s="5" t="inlineStr">
        <is>
          <t>Income tax assets (net)</t>
        </is>
      </c>
      <c r="B17" s="12">
        <f>'Historical BS'!B17</f>
        <v/>
      </c>
      <c r="C17" s="12">
        <f>'Historical BS'!C17</f>
        <v/>
      </c>
      <c r="D17" s="12">
        <f>'Historical BS'!D17</f>
        <v/>
      </c>
      <c r="E17" s="12">
        <f>'Historical BS'!E17</f>
        <v/>
      </c>
      <c r="F17" s="12">
        <f>'Historical BS'!F17</f>
        <v/>
      </c>
      <c r="G17" s="12">
        <f>'Historical BS'!G17</f>
        <v/>
      </c>
      <c r="H17" s="12">
        <f>'Historical BS'!H17</f>
        <v/>
      </c>
      <c r="I17" s="12">
        <f>'Historical BS'!H17</f>
        <v/>
      </c>
      <c r="J17" s="12">
        <f>'Historical BS'!H17</f>
        <v/>
      </c>
      <c r="K17" s="12">
        <f>'Historical BS'!H17</f>
        <v/>
      </c>
      <c r="L17" s="12">
        <f>'Historical BS'!H17</f>
        <v/>
      </c>
      <c r="M17" s="12">
        <f>'Historical BS'!H17</f>
        <v/>
      </c>
      <c r="N17" s="12">
        <f>'Historical BS'!H17</f>
        <v/>
      </c>
      <c r="O17" s="12">
        <f>'Historical BS'!H17</f>
        <v/>
      </c>
    </row>
    <row r="18">
      <c r="A18" s="5" t="inlineStr">
        <is>
          <t>Deferred tax assets (net)</t>
        </is>
      </c>
      <c r="B18" s="12">
        <f>'Historical BS'!B18</f>
        <v/>
      </c>
      <c r="C18" s="12">
        <f>'Historical BS'!C18</f>
        <v/>
      </c>
      <c r="D18" s="12">
        <f>'Historical BS'!D18</f>
        <v/>
      </c>
      <c r="E18" s="12">
        <f>'Historical BS'!E18</f>
        <v/>
      </c>
      <c r="F18" s="12">
        <f>'Historical BS'!F18</f>
        <v/>
      </c>
      <c r="G18" s="12">
        <f>'Historical BS'!G18</f>
        <v/>
      </c>
      <c r="H18" s="12">
        <f>'Historical BS'!H18</f>
        <v/>
      </c>
      <c r="I18" s="12">
        <f>'Historical BS'!H18</f>
        <v/>
      </c>
      <c r="J18" s="12">
        <f>'Historical BS'!H18</f>
        <v/>
      </c>
      <c r="K18" s="12">
        <f>'Historical BS'!H18</f>
        <v/>
      </c>
      <c r="L18" s="12">
        <f>'Historical BS'!H18</f>
        <v/>
      </c>
      <c r="M18" s="12">
        <f>'Historical BS'!H18</f>
        <v/>
      </c>
      <c r="N18" s="12">
        <f>'Historical BS'!H18</f>
        <v/>
      </c>
      <c r="O18" s="12">
        <f>'Historical BS'!H18</f>
        <v/>
      </c>
    </row>
    <row r="19">
      <c r="A19" s="5" t="inlineStr">
        <is>
          <t>Other non-current assets</t>
        </is>
      </c>
      <c r="B19" s="12">
        <f>'Historical BS'!B19</f>
        <v/>
      </c>
      <c r="C19" s="12">
        <f>'Historical BS'!C19</f>
        <v/>
      </c>
      <c r="D19" s="12">
        <f>'Historical BS'!D19</f>
        <v/>
      </c>
      <c r="E19" s="12">
        <f>'Historical BS'!E19</f>
        <v/>
      </c>
      <c r="F19" s="12">
        <f>'Historical BS'!F19</f>
        <v/>
      </c>
      <c r="G19" s="12">
        <f>'Historical BS'!G19</f>
        <v/>
      </c>
      <c r="H19" s="12">
        <f>'Historical BS'!H19</f>
        <v/>
      </c>
      <c r="I19" s="12">
        <f>'Historical BS'!H19</f>
        <v/>
      </c>
      <c r="J19" s="12">
        <f>'Historical BS'!H19</f>
        <v/>
      </c>
      <c r="K19" s="12">
        <f>'Historical BS'!H19</f>
        <v/>
      </c>
      <c r="L19" s="12">
        <f>'Historical BS'!H19</f>
        <v/>
      </c>
      <c r="M19" s="12">
        <f>'Historical BS'!H19</f>
        <v/>
      </c>
      <c r="N19" s="12">
        <f>'Historical BS'!H19</f>
        <v/>
      </c>
      <c r="O19" s="12">
        <f>'Historical BS'!H19</f>
        <v/>
      </c>
    </row>
    <row r="20">
      <c r="A20" s="4" t="inlineStr">
        <is>
          <t>Total non-current assets</t>
        </is>
      </c>
      <c r="B20" s="18">
        <f>B6+B7+B8+B9+B10+B11+B12+B13+B14+B15+B16+B17+B18+B19</f>
        <v/>
      </c>
      <c r="C20" s="18">
        <f>C6+C7+C8+C9+C10+C11+C12+C13+C14+C15+C16+C17+C18+C19</f>
        <v/>
      </c>
      <c r="D20" s="18">
        <f>D6+D7+D8+D9+D10+D11+D12+D13+D14+D15+D16+D17+D18+D19</f>
        <v/>
      </c>
      <c r="E20" s="18">
        <f>E6+E7+E8+E9+E10+E11+E12+E13+E14+E15+E16+E17+E18+E19</f>
        <v/>
      </c>
      <c r="F20" s="18">
        <f>F6+F7+F8+F9+F10+F11+F12+F13+F14+F15+F16+F17+F18+F19</f>
        <v/>
      </c>
      <c r="G20" s="18">
        <f>G6+G7+G8+G9+G10+G11+G12+G13+G14+G15+G16+G17+G18+G19</f>
        <v/>
      </c>
      <c r="H20" s="18">
        <f>H6+H7+H8+H9+H10+H11+H12+H13+H14+H15+H16+H17+H18+H19</f>
        <v/>
      </c>
      <c r="I20" s="18">
        <f>I6+I7+I8+I9+I10+I11+I12+I13+I14+I15+I16+I17+I18+I19</f>
        <v/>
      </c>
      <c r="J20" s="18">
        <f>J6+J7+J8+J9+J10+J11+J12+J13+J14+J15+J16+J17+J18+J19</f>
        <v/>
      </c>
      <c r="K20" s="18">
        <f>K6+K7+K8+K9+K10+K11+K12+K13+K14+K15+K16+K17+K18+K19</f>
        <v/>
      </c>
      <c r="L20" s="18">
        <f>L6+L7+L8+L9+L10+L11+L12+L13+L14+L15+L16+L17+L18+L19</f>
        <v/>
      </c>
      <c r="M20" s="18">
        <f>M6+M7+M8+M9+M10+M11+M12+M13+M14+M15+M16+M17+M18+M19</f>
        <v/>
      </c>
      <c r="N20" s="18">
        <f>N6+N7+N8+N9+N10+N11+N12+N13+N14+N15+N16+N17+N18+N19</f>
        <v/>
      </c>
      <c r="O20" s="18">
        <f>O6+O7+O8+O9+O10+O11+O12+O13+O14+O15+O16+O17+O18+O19</f>
        <v/>
      </c>
    </row>
    <row r="21">
      <c r="A21" s="19" t="inlineStr">
        <is>
          <t>Current assets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>
      <c r="A22" s="5" t="inlineStr">
        <is>
          <t>Inventories</t>
        </is>
      </c>
      <c r="B22" s="12">
        <f>'Historical BS'!B22</f>
        <v/>
      </c>
      <c r="C22" s="12">
        <f>'Historical BS'!C22</f>
        <v/>
      </c>
      <c r="D22" s="12">
        <f>'Historical BS'!D22</f>
        <v/>
      </c>
      <c r="E22" s="12">
        <f>'Historical BS'!E22</f>
        <v/>
      </c>
      <c r="F22" s="12">
        <f>'Historical BS'!F22</f>
        <v/>
      </c>
      <c r="G22" s="12">
        <f>'Historical BS'!G22</f>
        <v/>
      </c>
      <c r="H22" s="12">
        <f>'Historical BS'!H22</f>
        <v/>
      </c>
      <c r="I22" s="12">
        <f>'Working Capital'!I7</f>
        <v/>
      </c>
      <c r="J22" s="12">
        <f>'Working Capital'!J7</f>
        <v/>
      </c>
      <c r="K22" s="12">
        <f>'Working Capital'!K7</f>
        <v/>
      </c>
      <c r="L22" s="12">
        <f>'Working Capital'!L7</f>
        <v/>
      </c>
      <c r="M22" s="12">
        <f>'Working Capital'!M7</f>
        <v/>
      </c>
      <c r="N22" s="12">
        <f>'Working Capital'!N7</f>
        <v/>
      </c>
      <c r="O22" s="12">
        <f>'Working Capital'!O7</f>
        <v/>
      </c>
    </row>
    <row r="23">
      <c r="A23" s="5" t="inlineStr">
        <is>
          <t>Investments (current)</t>
        </is>
      </c>
      <c r="B23" s="12">
        <f>'Historical BS'!B23</f>
        <v/>
      </c>
      <c r="C23" s="12">
        <f>'Historical BS'!C23</f>
        <v/>
      </c>
      <c r="D23" s="12">
        <f>'Historical BS'!D23</f>
        <v/>
      </c>
      <c r="E23" s="12">
        <f>'Historical BS'!E23</f>
        <v/>
      </c>
      <c r="F23" s="12">
        <f>'Historical BS'!F23</f>
        <v/>
      </c>
      <c r="G23" s="12">
        <f>'Historical BS'!G23</f>
        <v/>
      </c>
      <c r="H23" s="12">
        <f>'Historical BS'!H23</f>
        <v/>
      </c>
      <c r="I23" s="12">
        <f>'Historical BS'!H23</f>
        <v/>
      </c>
      <c r="J23" s="12">
        <f>'Historical BS'!H23</f>
        <v/>
      </c>
      <c r="K23" s="12">
        <f>'Historical BS'!H23</f>
        <v/>
      </c>
      <c r="L23" s="12">
        <f>'Historical BS'!H23</f>
        <v/>
      </c>
      <c r="M23" s="12">
        <f>'Historical BS'!H23</f>
        <v/>
      </c>
      <c r="N23" s="12">
        <f>'Historical BS'!H23</f>
        <v/>
      </c>
      <c r="O23" s="12">
        <f>'Historical BS'!H23</f>
        <v/>
      </c>
    </row>
    <row r="24">
      <c r="A24" s="5" t="inlineStr">
        <is>
          <t>Trade receivables (current)</t>
        </is>
      </c>
      <c r="B24" s="12">
        <f>'Historical BS'!B24</f>
        <v/>
      </c>
      <c r="C24" s="12">
        <f>'Historical BS'!C24</f>
        <v/>
      </c>
      <c r="D24" s="12">
        <f>'Historical BS'!D24</f>
        <v/>
      </c>
      <c r="E24" s="12">
        <f>'Historical BS'!E24</f>
        <v/>
      </c>
      <c r="F24" s="12">
        <f>'Historical BS'!F24</f>
        <v/>
      </c>
      <c r="G24" s="12">
        <f>'Historical BS'!G24</f>
        <v/>
      </c>
      <c r="H24" s="12">
        <f>'Historical BS'!H24</f>
        <v/>
      </c>
      <c r="I24" s="12">
        <f>'Working Capital'!I6</f>
        <v/>
      </c>
      <c r="J24" s="12">
        <f>'Working Capital'!J6</f>
        <v/>
      </c>
      <c r="K24" s="12">
        <f>'Working Capital'!K6</f>
        <v/>
      </c>
      <c r="L24" s="12">
        <f>'Working Capital'!L6</f>
        <v/>
      </c>
      <c r="M24" s="12">
        <f>'Working Capital'!M6</f>
        <v/>
      </c>
      <c r="N24" s="12">
        <f>'Working Capital'!N6</f>
        <v/>
      </c>
      <c r="O24" s="12">
        <f>'Working Capital'!O6</f>
        <v/>
      </c>
    </row>
    <row r="25">
      <c r="A25" s="5" t="inlineStr">
        <is>
          <t>Cash &amp; cash equivalents</t>
        </is>
      </c>
      <c r="B25" s="12">
        <f>'Historical BS'!B25</f>
        <v/>
      </c>
      <c r="C25" s="12">
        <f>'Historical BS'!C25</f>
        <v/>
      </c>
      <c r="D25" s="12">
        <f>'Historical BS'!D25</f>
        <v/>
      </c>
      <c r="E25" s="12">
        <f>'Historical BS'!E25</f>
        <v/>
      </c>
      <c r="F25" s="12">
        <f>'Historical BS'!F25</f>
        <v/>
      </c>
      <c r="G25" s="12">
        <f>'Historical BS'!G25</f>
        <v/>
      </c>
      <c r="H25" s="12">
        <f>'Historical BS'!H25</f>
        <v/>
      </c>
      <c r="I25" s="12">
        <f>'Integrated CF'!I22</f>
        <v/>
      </c>
      <c r="J25" s="12">
        <f>'Integrated CF'!J22</f>
        <v/>
      </c>
      <c r="K25" s="12">
        <f>'Integrated CF'!K22</f>
        <v/>
      </c>
      <c r="L25" s="12">
        <f>'Integrated CF'!L22</f>
        <v/>
      </c>
      <c r="M25" s="12">
        <f>'Integrated CF'!M22</f>
        <v/>
      </c>
      <c r="N25" s="12">
        <f>'Integrated CF'!N22</f>
        <v/>
      </c>
      <c r="O25" s="12">
        <f>'Integrated CF'!O22</f>
        <v/>
      </c>
    </row>
    <row r="26">
      <c r="A26" s="5" t="inlineStr">
        <is>
          <t>Bank balances other</t>
        </is>
      </c>
      <c r="B26" s="12">
        <f>'Historical BS'!B26</f>
        <v/>
      </c>
      <c r="C26" s="12">
        <f>'Historical BS'!C26</f>
        <v/>
      </c>
      <c r="D26" s="12">
        <f>'Historical BS'!D26</f>
        <v/>
      </c>
      <c r="E26" s="12">
        <f>'Historical BS'!E26</f>
        <v/>
      </c>
      <c r="F26" s="12">
        <f>'Historical BS'!F26</f>
        <v/>
      </c>
      <c r="G26" s="12">
        <f>'Historical BS'!G26</f>
        <v/>
      </c>
      <c r="H26" s="12">
        <f>'Historical BS'!H26</f>
        <v/>
      </c>
      <c r="I26" s="12">
        <f>'Historical BS'!H26</f>
        <v/>
      </c>
      <c r="J26" s="12">
        <f>'Historical BS'!H26</f>
        <v/>
      </c>
      <c r="K26" s="12">
        <f>'Historical BS'!H26</f>
        <v/>
      </c>
      <c r="L26" s="12">
        <f>'Historical BS'!H26</f>
        <v/>
      </c>
      <c r="M26" s="12">
        <f>'Historical BS'!H26</f>
        <v/>
      </c>
      <c r="N26" s="12">
        <f>'Historical BS'!H26</f>
        <v/>
      </c>
      <c r="O26" s="12">
        <f>'Historical BS'!H26</f>
        <v/>
      </c>
    </row>
    <row r="27">
      <c r="A27" s="5" t="inlineStr">
        <is>
          <t>Loans (current)</t>
        </is>
      </c>
      <c r="B27" s="12">
        <f>'Historical BS'!B27</f>
        <v/>
      </c>
      <c r="C27" s="12">
        <f>'Historical BS'!C27</f>
        <v/>
      </c>
      <c r="D27" s="12">
        <f>'Historical BS'!D27</f>
        <v/>
      </c>
      <c r="E27" s="12">
        <f>'Historical BS'!E27</f>
        <v/>
      </c>
      <c r="F27" s="12">
        <f>'Historical BS'!F27</f>
        <v/>
      </c>
      <c r="G27" s="12">
        <f>'Historical BS'!G27</f>
        <v/>
      </c>
      <c r="H27" s="12">
        <f>'Historical BS'!H27</f>
        <v/>
      </c>
      <c r="I27" s="12">
        <f>'Historical BS'!H27</f>
        <v/>
      </c>
      <c r="J27" s="12">
        <f>'Historical BS'!H27</f>
        <v/>
      </c>
      <c r="K27" s="12">
        <f>'Historical BS'!H27</f>
        <v/>
      </c>
      <c r="L27" s="12">
        <f>'Historical BS'!H27</f>
        <v/>
      </c>
      <c r="M27" s="12">
        <f>'Historical BS'!H27</f>
        <v/>
      </c>
      <c r="N27" s="12">
        <f>'Historical BS'!H27</f>
        <v/>
      </c>
      <c r="O27" s="12">
        <f>'Historical BS'!H27</f>
        <v/>
      </c>
    </row>
    <row r="28">
      <c r="A28" s="5" t="inlineStr">
        <is>
          <t>Other financial assets (current)</t>
        </is>
      </c>
      <c r="B28" s="12">
        <f>'Historical BS'!B28</f>
        <v/>
      </c>
      <c r="C28" s="12">
        <f>'Historical BS'!C28</f>
        <v/>
      </c>
      <c r="D28" s="12">
        <f>'Historical BS'!D28</f>
        <v/>
      </c>
      <c r="E28" s="12">
        <f>'Historical BS'!E28</f>
        <v/>
      </c>
      <c r="F28" s="12">
        <f>'Historical BS'!F28</f>
        <v/>
      </c>
      <c r="G28" s="12">
        <f>'Historical BS'!G28</f>
        <v/>
      </c>
      <c r="H28" s="12">
        <f>'Historical BS'!H28</f>
        <v/>
      </c>
      <c r="I28" s="12">
        <f>'Historical BS'!H28</f>
        <v/>
      </c>
      <c r="J28" s="12">
        <f>'Historical BS'!H28</f>
        <v/>
      </c>
      <c r="K28" s="12">
        <f>'Historical BS'!H28</f>
        <v/>
      </c>
      <c r="L28" s="12">
        <f>'Historical BS'!H28</f>
        <v/>
      </c>
      <c r="M28" s="12">
        <f>'Historical BS'!H28</f>
        <v/>
      </c>
      <c r="N28" s="12">
        <f>'Historical BS'!H28</f>
        <v/>
      </c>
      <c r="O28" s="12">
        <f>'Historical BS'!H28</f>
        <v/>
      </c>
    </row>
    <row r="29">
      <c r="A29" s="5" t="inlineStr">
        <is>
          <t>Income tax assets (current)</t>
        </is>
      </c>
      <c r="B29" s="12">
        <f>'Historical BS'!B29</f>
        <v/>
      </c>
      <c r="C29" s="12">
        <f>'Historical BS'!C29</f>
        <v/>
      </c>
      <c r="D29" s="12">
        <f>'Historical BS'!D29</f>
        <v/>
      </c>
      <c r="E29" s="12">
        <f>'Historical BS'!E29</f>
        <v/>
      </c>
      <c r="F29" s="12">
        <f>'Historical BS'!F29</f>
        <v/>
      </c>
      <c r="G29" s="12">
        <f>'Historical BS'!G29</f>
        <v/>
      </c>
      <c r="H29" s="12">
        <f>'Historical BS'!H29</f>
        <v/>
      </c>
      <c r="I29" s="12">
        <f>'Historical BS'!H29</f>
        <v/>
      </c>
      <c r="J29" s="12">
        <f>'Historical BS'!H29</f>
        <v/>
      </c>
      <c r="K29" s="12">
        <f>'Historical BS'!H29</f>
        <v/>
      </c>
      <c r="L29" s="12">
        <f>'Historical BS'!H29</f>
        <v/>
      </c>
      <c r="M29" s="12">
        <f>'Historical BS'!H29</f>
        <v/>
      </c>
      <c r="N29" s="12">
        <f>'Historical BS'!H29</f>
        <v/>
      </c>
      <c r="O29" s="12">
        <f>'Historical BS'!H29</f>
        <v/>
      </c>
    </row>
    <row r="30">
      <c r="A30" s="5" t="inlineStr">
        <is>
          <t>Other current assets</t>
        </is>
      </c>
      <c r="B30" s="12">
        <f>'Historical BS'!B30</f>
        <v/>
      </c>
      <c r="C30" s="12">
        <f>'Historical BS'!C30</f>
        <v/>
      </c>
      <c r="D30" s="12">
        <f>'Historical BS'!D30</f>
        <v/>
      </c>
      <c r="E30" s="12">
        <f>'Historical BS'!E30</f>
        <v/>
      </c>
      <c r="F30" s="12">
        <f>'Historical BS'!F30</f>
        <v/>
      </c>
      <c r="G30" s="12">
        <f>'Historical BS'!G30</f>
        <v/>
      </c>
      <c r="H30" s="12">
        <f>'Historical BS'!H30</f>
        <v/>
      </c>
      <c r="I30" s="12">
        <f>'Working Capital'!I8</f>
        <v/>
      </c>
      <c r="J30" s="12">
        <f>'Working Capital'!J8</f>
        <v/>
      </c>
      <c r="K30" s="12">
        <f>'Working Capital'!K8</f>
        <v/>
      </c>
      <c r="L30" s="12">
        <f>'Working Capital'!L8</f>
        <v/>
      </c>
      <c r="M30" s="12">
        <f>'Working Capital'!M8</f>
        <v/>
      </c>
      <c r="N30" s="12">
        <f>'Working Capital'!N8</f>
        <v/>
      </c>
      <c r="O30" s="12">
        <f>'Working Capital'!O8</f>
        <v/>
      </c>
    </row>
    <row r="31">
      <c r="A31" s="4" t="inlineStr">
        <is>
          <t>Total current assets</t>
        </is>
      </c>
      <c r="B31" s="18">
        <f>B22+B23+B24+B25+B26+B27+B28+B29+B30</f>
        <v/>
      </c>
      <c r="C31" s="18">
        <f>C22+C23+C24+C25+C26+C27+C28+C29+C30</f>
        <v/>
      </c>
      <c r="D31" s="18">
        <f>D22+D23+D24+D25+D26+D27+D28+D29+D30</f>
        <v/>
      </c>
      <c r="E31" s="18">
        <f>E22+E23+E24+E25+E26+E27+E28+E29+E30</f>
        <v/>
      </c>
      <c r="F31" s="18">
        <f>F22+F23+F24+F25+F26+F27+F28+F29+F30</f>
        <v/>
      </c>
      <c r="G31" s="18">
        <f>G22+G23+G24+G25+G26+G27+G28+G29+G30</f>
        <v/>
      </c>
      <c r="H31" s="18">
        <f>H22+H23+H24+H25+H26+H27+H28+H29+H30</f>
        <v/>
      </c>
      <c r="I31" s="18">
        <f>I22+I23+I24+I25+I26+I27+I28+I29+I30</f>
        <v/>
      </c>
      <c r="J31" s="18">
        <f>J22+J23+J24+J25+J26+J27+J28+J29+J30</f>
        <v/>
      </c>
      <c r="K31" s="18">
        <f>K22+K23+K24+K25+K26+K27+K28+K29+K30</f>
        <v/>
      </c>
      <c r="L31" s="18">
        <f>L22+L23+L24+L25+L26+L27+L28+L29+L30</f>
        <v/>
      </c>
      <c r="M31" s="18">
        <f>M22+M23+M24+M25+M26+M27+M28+M29+M30</f>
        <v/>
      </c>
      <c r="N31" s="18">
        <f>N22+N23+N24+N25+N26+N27+N28+N29+N30</f>
        <v/>
      </c>
      <c r="O31" s="18">
        <f>O22+O23+O24+O25+O26+O27+O28+O29+O30</f>
        <v/>
      </c>
    </row>
    <row r="32">
      <c r="A32" s="22" t="inlineStr">
        <is>
          <t>TOTAL ASSETS</t>
        </is>
      </c>
      <c r="B32" s="23">
        <f>B20+B31</f>
        <v/>
      </c>
      <c r="C32" s="23">
        <f>C20+C31</f>
        <v/>
      </c>
      <c r="D32" s="23">
        <f>D20+D31</f>
        <v/>
      </c>
      <c r="E32" s="23">
        <f>E20+E31</f>
        <v/>
      </c>
      <c r="F32" s="23">
        <f>F20+F31</f>
        <v/>
      </c>
      <c r="G32" s="23">
        <f>G20+G31</f>
        <v/>
      </c>
      <c r="H32" s="23">
        <f>H20+H31</f>
        <v/>
      </c>
      <c r="I32" s="23">
        <f>I20+I31</f>
        <v/>
      </c>
      <c r="J32" s="23">
        <f>J20+J31</f>
        <v/>
      </c>
      <c r="K32" s="23">
        <f>K20+K31</f>
        <v/>
      </c>
      <c r="L32" s="23">
        <f>L20+L31</f>
        <v/>
      </c>
      <c r="M32" s="23">
        <f>M20+M31</f>
        <v/>
      </c>
      <c r="N32" s="23">
        <f>N20+N31</f>
        <v/>
      </c>
      <c r="O32" s="23">
        <f>O20+O31</f>
        <v/>
      </c>
    </row>
    <row r="33">
      <c r="A33" s="19" t="inlineStr">
        <is>
          <t>EQUITY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>
      <c r="A34" s="5" t="inlineStr">
        <is>
          <t>Equity share capital</t>
        </is>
      </c>
      <c r="B34" s="12">
        <f>'Historical BS'!B34</f>
        <v/>
      </c>
      <c r="C34" s="12">
        <f>'Historical BS'!C34</f>
        <v/>
      </c>
      <c r="D34" s="12">
        <f>'Historical BS'!D34</f>
        <v/>
      </c>
      <c r="E34" s="12">
        <f>'Historical BS'!E34</f>
        <v/>
      </c>
      <c r="F34" s="12">
        <f>'Historical BS'!F34</f>
        <v/>
      </c>
      <c r="G34" s="12">
        <f>'Historical BS'!G34</f>
        <v/>
      </c>
      <c r="H34" s="12">
        <f>'Historical BS'!H34</f>
        <v/>
      </c>
      <c r="I34" s="12">
        <f>'Historical BS'!H34</f>
        <v/>
      </c>
      <c r="J34" s="12">
        <f>'Historical BS'!H34</f>
        <v/>
      </c>
      <c r="K34" s="12">
        <f>'Historical BS'!H34</f>
        <v/>
      </c>
      <c r="L34" s="12">
        <f>'Historical BS'!H34</f>
        <v/>
      </c>
      <c r="M34" s="12">
        <f>'Historical BS'!H34</f>
        <v/>
      </c>
      <c r="N34" s="12">
        <f>'Historical BS'!H34</f>
        <v/>
      </c>
      <c r="O34" s="12">
        <f>'Historical BS'!H34</f>
        <v/>
      </c>
    </row>
    <row r="35">
      <c r="A35" s="5" t="inlineStr">
        <is>
          <t>Other equity</t>
        </is>
      </c>
      <c r="B35" s="12">
        <f>'Historical BS'!B35</f>
        <v/>
      </c>
      <c r="C35" s="12">
        <f>'Historical BS'!C35</f>
        <v/>
      </c>
      <c r="D35" s="12">
        <f>'Historical BS'!D35</f>
        <v/>
      </c>
      <c r="E35" s="12">
        <f>'Historical BS'!E35</f>
        <v/>
      </c>
      <c r="F35" s="12">
        <f>'Historical BS'!F35</f>
        <v/>
      </c>
      <c r="G35" s="12">
        <f>'Historical BS'!G35</f>
        <v/>
      </c>
      <c r="H35" s="12">
        <f>'Historical BS'!H35</f>
        <v/>
      </c>
      <c r="I35" s="12">
        <f>'Historical BS'!H35+'Integrated IS'!I25+'Integrated CF'!I17</f>
        <v/>
      </c>
      <c r="J35" s="12">
        <f>I35+'Integrated IS'!J25+'Integrated CF'!J17</f>
        <v/>
      </c>
      <c r="K35" s="12">
        <f>J35+'Integrated IS'!K25+'Integrated CF'!K17</f>
        <v/>
      </c>
      <c r="L35" s="12">
        <f>K35+'Integrated IS'!L25+'Integrated CF'!L17</f>
        <v/>
      </c>
      <c r="M35" s="12">
        <f>L35+'Integrated IS'!M25+'Integrated CF'!M17</f>
        <v/>
      </c>
      <c r="N35" s="12">
        <f>M35+'Integrated IS'!N25+'Integrated CF'!N17</f>
        <v/>
      </c>
      <c r="O35" s="12">
        <f>N35+'Integrated IS'!O25+'Integrated CF'!O17</f>
        <v/>
      </c>
    </row>
    <row r="36">
      <c r="A36" s="4" t="inlineStr">
        <is>
          <t>Total equity</t>
        </is>
      </c>
      <c r="B36" s="18">
        <f>B34+B35</f>
        <v/>
      </c>
      <c r="C36" s="18">
        <f>C34+C35</f>
        <v/>
      </c>
      <c r="D36" s="18">
        <f>D34+D35</f>
        <v/>
      </c>
      <c r="E36" s="18">
        <f>E34+E35</f>
        <v/>
      </c>
      <c r="F36" s="18">
        <f>F34+F35</f>
        <v/>
      </c>
      <c r="G36" s="18">
        <f>G34+G35</f>
        <v/>
      </c>
      <c r="H36" s="18">
        <f>H34+H35</f>
        <v/>
      </c>
      <c r="I36" s="18">
        <f>I34+I35</f>
        <v/>
      </c>
      <c r="J36" s="18">
        <f>J34+J35</f>
        <v/>
      </c>
      <c r="K36" s="18">
        <f>K34+K35</f>
        <v/>
      </c>
      <c r="L36" s="18">
        <f>L34+L35</f>
        <v/>
      </c>
      <c r="M36" s="18">
        <f>M34+M35</f>
        <v/>
      </c>
      <c r="N36" s="18">
        <f>N34+N35</f>
        <v/>
      </c>
      <c r="O36" s="18">
        <f>O34+O35</f>
        <v/>
      </c>
    </row>
    <row r="37">
      <c r="A37" s="19" t="inlineStr">
        <is>
          <t>Non-current liabilities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>
      <c r="A38" s="5" t="inlineStr">
        <is>
          <t>Borrowings</t>
        </is>
      </c>
      <c r="B38" s="12">
        <f>'Historical BS'!B38</f>
        <v/>
      </c>
      <c r="C38" s="12">
        <f>'Historical BS'!C38</f>
        <v/>
      </c>
      <c r="D38" s="12">
        <f>'Historical BS'!D38</f>
        <v/>
      </c>
      <c r="E38" s="12">
        <f>'Historical BS'!E38</f>
        <v/>
      </c>
      <c r="F38" s="12">
        <f>'Historical BS'!F38</f>
        <v/>
      </c>
      <c r="G38" s="12">
        <f>'Historical BS'!G38</f>
        <v/>
      </c>
      <c r="H38" s="12">
        <f>'Historical BS'!H38</f>
        <v/>
      </c>
      <c r="I38" s="12">
        <f>'Debt Schedule'!I12</f>
        <v/>
      </c>
      <c r="J38" s="12">
        <f>'Debt Schedule'!J12</f>
        <v/>
      </c>
      <c r="K38" s="12">
        <f>'Debt Schedule'!K12</f>
        <v/>
      </c>
      <c r="L38" s="12">
        <f>'Debt Schedule'!L12</f>
        <v/>
      </c>
      <c r="M38" s="12">
        <f>'Debt Schedule'!M12</f>
        <v/>
      </c>
      <c r="N38" s="12">
        <f>'Debt Schedule'!N12</f>
        <v/>
      </c>
      <c r="O38" s="12">
        <f>'Debt Schedule'!O12</f>
        <v/>
      </c>
    </row>
    <row r="39">
      <c r="A39" s="5" t="inlineStr">
        <is>
          <t>Lease liabilities</t>
        </is>
      </c>
      <c r="B39" s="12">
        <f>'Historical BS'!B39</f>
        <v/>
      </c>
      <c r="C39" s="12">
        <f>'Historical BS'!C39</f>
        <v/>
      </c>
      <c r="D39" s="12">
        <f>'Historical BS'!D39</f>
        <v/>
      </c>
      <c r="E39" s="12">
        <f>'Historical BS'!E39</f>
        <v/>
      </c>
      <c r="F39" s="12">
        <f>'Historical BS'!F39</f>
        <v/>
      </c>
      <c r="G39" s="12">
        <f>'Historical BS'!G39</f>
        <v/>
      </c>
      <c r="H39" s="12">
        <f>'Historical BS'!H39</f>
        <v/>
      </c>
      <c r="I39" s="12">
        <f>'Historical BS'!H39</f>
        <v/>
      </c>
      <c r="J39" s="12">
        <f>'Historical BS'!H39</f>
        <v/>
      </c>
      <c r="K39" s="12">
        <f>'Historical BS'!H39</f>
        <v/>
      </c>
      <c r="L39" s="12">
        <f>'Historical BS'!H39</f>
        <v/>
      </c>
      <c r="M39" s="12">
        <f>'Historical BS'!H39</f>
        <v/>
      </c>
      <c r="N39" s="12">
        <f>'Historical BS'!H39</f>
        <v/>
      </c>
      <c r="O39" s="12">
        <f>'Historical BS'!H39</f>
        <v/>
      </c>
    </row>
    <row r="40">
      <c r="A40" s="5" t="inlineStr">
        <is>
          <t>Other financial liabilities</t>
        </is>
      </c>
      <c r="B40" s="12">
        <f>'Historical BS'!B40</f>
        <v/>
      </c>
      <c r="C40" s="12">
        <f>'Historical BS'!C40</f>
        <v/>
      </c>
      <c r="D40" s="12">
        <f>'Historical BS'!D40</f>
        <v/>
      </c>
      <c r="E40" s="12">
        <f>'Historical BS'!E40</f>
        <v/>
      </c>
      <c r="F40" s="12">
        <f>'Historical BS'!F40</f>
        <v/>
      </c>
      <c r="G40" s="12">
        <f>'Historical BS'!G40</f>
        <v/>
      </c>
      <c r="H40" s="12">
        <f>'Historical BS'!H40</f>
        <v/>
      </c>
      <c r="I40" s="12">
        <f>'Historical BS'!H40</f>
        <v/>
      </c>
      <c r="J40" s="12">
        <f>'Historical BS'!H40</f>
        <v/>
      </c>
      <c r="K40" s="12">
        <f>'Historical BS'!H40</f>
        <v/>
      </c>
      <c r="L40" s="12">
        <f>'Historical BS'!H40</f>
        <v/>
      </c>
      <c r="M40" s="12">
        <f>'Historical BS'!H40</f>
        <v/>
      </c>
      <c r="N40" s="12">
        <f>'Historical BS'!H40</f>
        <v/>
      </c>
      <c r="O40" s="12">
        <f>'Historical BS'!H40</f>
        <v/>
      </c>
    </row>
    <row r="41">
      <c r="A41" s="5" t="inlineStr">
        <is>
          <t>Provisions</t>
        </is>
      </c>
      <c r="B41" s="12">
        <f>'Historical BS'!B41</f>
        <v/>
      </c>
      <c r="C41" s="12">
        <f>'Historical BS'!C41</f>
        <v/>
      </c>
      <c r="D41" s="12">
        <f>'Historical BS'!D41</f>
        <v/>
      </c>
      <c r="E41" s="12">
        <f>'Historical BS'!E41</f>
        <v/>
      </c>
      <c r="F41" s="12">
        <f>'Historical BS'!F41</f>
        <v/>
      </c>
      <c r="G41" s="12">
        <f>'Historical BS'!G41</f>
        <v/>
      </c>
      <c r="H41" s="12">
        <f>'Historical BS'!H41</f>
        <v/>
      </c>
      <c r="I41" s="12">
        <f>'Historical BS'!H41</f>
        <v/>
      </c>
      <c r="J41" s="12">
        <f>'Historical BS'!H41</f>
        <v/>
      </c>
      <c r="K41" s="12">
        <f>'Historical BS'!H41</f>
        <v/>
      </c>
      <c r="L41" s="12">
        <f>'Historical BS'!H41</f>
        <v/>
      </c>
      <c r="M41" s="12">
        <f>'Historical BS'!H41</f>
        <v/>
      </c>
      <c r="N41" s="12">
        <f>'Historical BS'!H41</f>
        <v/>
      </c>
      <c r="O41" s="12">
        <f>'Historical BS'!H41</f>
        <v/>
      </c>
    </row>
    <row r="42">
      <c r="A42" s="5" t="inlineStr">
        <is>
          <t>Deferred tax liabilities (net)</t>
        </is>
      </c>
      <c r="B42" s="12">
        <f>'Historical BS'!B42</f>
        <v/>
      </c>
      <c r="C42" s="12">
        <f>'Historical BS'!C42</f>
        <v/>
      </c>
      <c r="D42" s="12">
        <f>'Historical BS'!D42</f>
        <v/>
      </c>
      <c r="E42" s="12">
        <f>'Historical BS'!E42</f>
        <v/>
      </c>
      <c r="F42" s="12">
        <f>'Historical BS'!F42</f>
        <v/>
      </c>
      <c r="G42" s="12">
        <f>'Historical BS'!G42</f>
        <v/>
      </c>
      <c r="H42" s="12">
        <f>'Historical BS'!H42</f>
        <v/>
      </c>
      <c r="I42" s="12">
        <f>'Historical BS'!H42</f>
        <v/>
      </c>
      <c r="J42" s="12">
        <f>'Historical BS'!H42</f>
        <v/>
      </c>
      <c r="K42" s="12">
        <f>'Historical BS'!H42</f>
        <v/>
      </c>
      <c r="L42" s="12">
        <f>'Historical BS'!H42</f>
        <v/>
      </c>
      <c r="M42" s="12">
        <f>'Historical BS'!H42</f>
        <v/>
      </c>
      <c r="N42" s="12">
        <f>'Historical BS'!H42</f>
        <v/>
      </c>
      <c r="O42" s="12">
        <f>'Historical BS'!H42</f>
        <v/>
      </c>
    </row>
    <row r="43">
      <c r="A43" s="5" t="inlineStr">
        <is>
          <t>Other non-current liabilities</t>
        </is>
      </c>
      <c r="B43" s="12">
        <f>'Historical BS'!B43</f>
        <v/>
      </c>
      <c r="C43" s="12">
        <f>'Historical BS'!C43</f>
        <v/>
      </c>
      <c r="D43" s="12">
        <f>'Historical BS'!D43</f>
        <v/>
      </c>
      <c r="E43" s="12">
        <f>'Historical BS'!E43</f>
        <v/>
      </c>
      <c r="F43" s="12">
        <f>'Historical BS'!F43</f>
        <v/>
      </c>
      <c r="G43" s="12">
        <f>'Historical BS'!G43</f>
        <v/>
      </c>
      <c r="H43" s="12">
        <f>'Historical BS'!H43</f>
        <v/>
      </c>
      <c r="I43" s="12">
        <f>'Historical BS'!H43</f>
        <v/>
      </c>
      <c r="J43" s="12">
        <f>'Historical BS'!H43</f>
        <v/>
      </c>
      <c r="K43" s="12">
        <f>'Historical BS'!H43</f>
        <v/>
      </c>
      <c r="L43" s="12">
        <f>'Historical BS'!H43</f>
        <v/>
      </c>
      <c r="M43" s="12">
        <f>'Historical BS'!H43</f>
        <v/>
      </c>
      <c r="N43" s="12">
        <f>'Historical BS'!H43</f>
        <v/>
      </c>
      <c r="O43" s="12">
        <f>'Historical BS'!H43</f>
        <v/>
      </c>
    </row>
    <row r="44">
      <c r="A44" s="4" t="inlineStr">
        <is>
          <t>Total non-current liabilities</t>
        </is>
      </c>
      <c r="B44" s="18">
        <f>B38+B39+B40+B41+B42+B43</f>
        <v/>
      </c>
      <c r="C44" s="18">
        <f>C38+C39+C40+C41+C42+C43</f>
        <v/>
      </c>
      <c r="D44" s="18">
        <f>D38+D39+D40+D41+D42+D43</f>
        <v/>
      </c>
      <c r="E44" s="18">
        <f>E38+E39+E40+E41+E42+E43</f>
        <v/>
      </c>
      <c r="F44" s="18">
        <f>F38+F39+F40+F41+F42+F43</f>
        <v/>
      </c>
      <c r="G44" s="18">
        <f>G38+G39+G40+G41+G42+G43</f>
        <v/>
      </c>
      <c r="H44" s="18">
        <f>H38+H39+H40+H41+H42+H43</f>
        <v/>
      </c>
      <c r="I44" s="18">
        <f>I38+I39+I40+I41+I42+I43</f>
        <v/>
      </c>
      <c r="J44" s="18">
        <f>J38+J39+J40+J41+J42+J43</f>
        <v/>
      </c>
      <c r="K44" s="18">
        <f>K38+K39+K40+K41+K42+K43</f>
        <v/>
      </c>
      <c r="L44" s="18">
        <f>L38+L39+L40+L41+L42+L43</f>
        <v/>
      </c>
      <c r="M44" s="18">
        <f>M38+M39+M40+M41+M42+M43</f>
        <v/>
      </c>
      <c r="N44" s="18">
        <f>N38+N39+N40+N41+N42+N43</f>
        <v/>
      </c>
      <c r="O44" s="18">
        <f>O38+O39+O40+O41+O42+O43</f>
        <v/>
      </c>
    </row>
    <row r="45">
      <c r="A45" s="19" t="inlineStr">
        <is>
          <t>Current liabilities</t>
        </is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>
      <c r="A46" s="5" t="inlineStr">
        <is>
          <t>Borrowings</t>
        </is>
      </c>
      <c r="B46" s="12">
        <f>'Historical BS'!B46</f>
        <v/>
      </c>
      <c r="C46" s="12">
        <f>'Historical BS'!C46</f>
        <v/>
      </c>
      <c r="D46" s="12">
        <f>'Historical BS'!D46</f>
        <v/>
      </c>
      <c r="E46" s="12">
        <f>'Historical BS'!E46</f>
        <v/>
      </c>
      <c r="F46" s="12">
        <f>'Historical BS'!F46</f>
        <v/>
      </c>
      <c r="G46" s="12">
        <f>'Historical BS'!G46</f>
        <v/>
      </c>
      <c r="H46" s="12">
        <f>'Historical BS'!H46</f>
        <v/>
      </c>
      <c r="I46" s="12">
        <f>'Debt Schedule'!I11</f>
        <v/>
      </c>
      <c r="J46" s="12">
        <f>'Debt Schedule'!J11</f>
        <v/>
      </c>
      <c r="K46" s="12">
        <f>'Debt Schedule'!K11</f>
        <v/>
      </c>
      <c r="L46" s="12">
        <f>'Debt Schedule'!L11</f>
        <v/>
      </c>
      <c r="M46" s="12">
        <f>'Debt Schedule'!M11</f>
        <v/>
      </c>
      <c r="N46" s="12">
        <f>'Debt Schedule'!N11</f>
        <v/>
      </c>
      <c r="O46" s="12">
        <f>'Debt Schedule'!O11</f>
        <v/>
      </c>
    </row>
    <row r="47">
      <c r="A47" s="5" t="inlineStr">
        <is>
          <t>Lease liabilities</t>
        </is>
      </c>
      <c r="B47" s="12">
        <f>'Historical BS'!B47</f>
        <v/>
      </c>
      <c r="C47" s="12">
        <f>'Historical BS'!C47</f>
        <v/>
      </c>
      <c r="D47" s="12">
        <f>'Historical BS'!D47</f>
        <v/>
      </c>
      <c r="E47" s="12">
        <f>'Historical BS'!E47</f>
        <v/>
      </c>
      <c r="F47" s="12">
        <f>'Historical BS'!F47</f>
        <v/>
      </c>
      <c r="G47" s="12">
        <f>'Historical BS'!G47</f>
        <v/>
      </c>
      <c r="H47" s="12">
        <f>'Historical BS'!H47</f>
        <v/>
      </c>
      <c r="I47" s="12">
        <f>'Historical BS'!H47</f>
        <v/>
      </c>
      <c r="J47" s="12">
        <f>'Historical BS'!H47</f>
        <v/>
      </c>
      <c r="K47" s="12">
        <f>'Historical BS'!H47</f>
        <v/>
      </c>
      <c r="L47" s="12">
        <f>'Historical BS'!H47</f>
        <v/>
      </c>
      <c r="M47" s="12">
        <f>'Historical BS'!H47</f>
        <v/>
      </c>
      <c r="N47" s="12">
        <f>'Historical BS'!H47</f>
        <v/>
      </c>
      <c r="O47" s="12">
        <f>'Historical BS'!H47</f>
        <v/>
      </c>
    </row>
    <row r="48">
      <c r="A48" s="5" t="inlineStr">
        <is>
          <t>Trade payables</t>
        </is>
      </c>
      <c r="B48" s="12">
        <f>'Historical BS'!B48</f>
        <v/>
      </c>
      <c r="C48" s="12">
        <f>'Historical BS'!C48</f>
        <v/>
      </c>
      <c r="D48" s="12">
        <f>'Historical BS'!D48</f>
        <v/>
      </c>
      <c r="E48" s="12">
        <f>'Historical BS'!E48</f>
        <v/>
      </c>
      <c r="F48" s="12">
        <f>'Historical BS'!F48</f>
        <v/>
      </c>
      <c r="G48" s="12">
        <f>'Historical BS'!G48</f>
        <v/>
      </c>
      <c r="H48" s="12">
        <f>'Historical BS'!H48</f>
        <v/>
      </c>
      <c r="I48" s="12">
        <f>'Working Capital'!I9</f>
        <v/>
      </c>
      <c r="J48" s="12">
        <f>'Working Capital'!J9</f>
        <v/>
      </c>
      <c r="K48" s="12">
        <f>'Working Capital'!K9</f>
        <v/>
      </c>
      <c r="L48" s="12">
        <f>'Working Capital'!L9</f>
        <v/>
      </c>
      <c r="M48" s="12">
        <f>'Working Capital'!M9</f>
        <v/>
      </c>
      <c r="N48" s="12">
        <f>'Working Capital'!N9</f>
        <v/>
      </c>
      <c r="O48" s="12">
        <f>'Working Capital'!O9</f>
        <v/>
      </c>
    </row>
    <row r="49">
      <c r="A49" s="5" t="inlineStr">
        <is>
          <t>Other financial liabilities</t>
        </is>
      </c>
      <c r="B49" s="12">
        <f>'Historical BS'!B49</f>
        <v/>
      </c>
      <c r="C49" s="12">
        <f>'Historical BS'!C49</f>
        <v/>
      </c>
      <c r="D49" s="12">
        <f>'Historical BS'!D49</f>
        <v/>
      </c>
      <c r="E49" s="12">
        <f>'Historical BS'!E49</f>
        <v/>
      </c>
      <c r="F49" s="12">
        <f>'Historical BS'!F49</f>
        <v/>
      </c>
      <c r="G49" s="12">
        <f>'Historical BS'!G49</f>
        <v/>
      </c>
      <c r="H49" s="12">
        <f>'Historical BS'!H49</f>
        <v/>
      </c>
      <c r="I49" s="12">
        <f>'Historical BS'!H49</f>
        <v/>
      </c>
      <c r="J49" s="12">
        <f>'Historical BS'!H49</f>
        <v/>
      </c>
      <c r="K49" s="12">
        <f>'Historical BS'!H49</f>
        <v/>
      </c>
      <c r="L49" s="12">
        <f>'Historical BS'!H49</f>
        <v/>
      </c>
      <c r="M49" s="12">
        <f>'Historical BS'!H49</f>
        <v/>
      </c>
      <c r="N49" s="12">
        <f>'Historical BS'!H49</f>
        <v/>
      </c>
      <c r="O49" s="12">
        <f>'Historical BS'!H49</f>
        <v/>
      </c>
    </row>
    <row r="50">
      <c r="A50" s="5" t="inlineStr">
        <is>
          <t>Other current liabilities</t>
        </is>
      </c>
      <c r="B50" s="12">
        <f>'Historical BS'!B50</f>
        <v/>
      </c>
      <c r="C50" s="12">
        <f>'Historical BS'!C50</f>
        <v/>
      </c>
      <c r="D50" s="12">
        <f>'Historical BS'!D50</f>
        <v/>
      </c>
      <c r="E50" s="12">
        <f>'Historical BS'!E50</f>
        <v/>
      </c>
      <c r="F50" s="12">
        <f>'Historical BS'!F50</f>
        <v/>
      </c>
      <c r="G50" s="12">
        <f>'Historical BS'!G50</f>
        <v/>
      </c>
      <c r="H50" s="12">
        <f>'Historical BS'!H50</f>
        <v/>
      </c>
      <c r="I50" s="12">
        <f>'Working Capital'!I10</f>
        <v/>
      </c>
      <c r="J50" s="12">
        <f>'Working Capital'!J10</f>
        <v/>
      </c>
      <c r="K50" s="12">
        <f>'Working Capital'!K10</f>
        <v/>
      </c>
      <c r="L50" s="12">
        <f>'Working Capital'!L10</f>
        <v/>
      </c>
      <c r="M50" s="12">
        <f>'Working Capital'!M10</f>
        <v/>
      </c>
      <c r="N50" s="12">
        <f>'Working Capital'!N10</f>
        <v/>
      </c>
      <c r="O50" s="12">
        <f>'Working Capital'!O10</f>
        <v/>
      </c>
    </row>
    <row r="51">
      <c r="A51" s="5" t="inlineStr">
        <is>
          <t>Provisions</t>
        </is>
      </c>
      <c r="B51" s="12">
        <f>'Historical BS'!B51</f>
        <v/>
      </c>
      <c r="C51" s="12">
        <f>'Historical BS'!C51</f>
        <v/>
      </c>
      <c r="D51" s="12">
        <f>'Historical BS'!D51</f>
        <v/>
      </c>
      <c r="E51" s="12">
        <f>'Historical BS'!E51</f>
        <v/>
      </c>
      <c r="F51" s="12">
        <f>'Historical BS'!F51</f>
        <v/>
      </c>
      <c r="G51" s="12">
        <f>'Historical BS'!G51</f>
        <v/>
      </c>
      <c r="H51" s="12">
        <f>'Historical BS'!H51</f>
        <v/>
      </c>
      <c r="I51" s="12">
        <f>'Historical BS'!H51</f>
        <v/>
      </c>
      <c r="J51" s="12">
        <f>'Historical BS'!H51</f>
        <v/>
      </c>
      <c r="K51" s="12">
        <f>'Historical BS'!H51</f>
        <v/>
      </c>
      <c r="L51" s="12">
        <f>'Historical BS'!H51</f>
        <v/>
      </c>
      <c r="M51" s="12">
        <f>'Historical BS'!H51</f>
        <v/>
      </c>
      <c r="N51" s="12">
        <f>'Historical BS'!H51</f>
        <v/>
      </c>
      <c r="O51" s="12">
        <f>'Historical BS'!H51</f>
        <v/>
      </c>
    </row>
    <row r="52">
      <c r="A52" s="4" t="inlineStr">
        <is>
          <t>Total current liabilities</t>
        </is>
      </c>
      <c r="B52" s="18">
        <f>B46+B47+B48+B49+B50+B51</f>
        <v/>
      </c>
      <c r="C52" s="18">
        <f>C46+C47+C48+C49+C50+C51</f>
        <v/>
      </c>
      <c r="D52" s="18">
        <f>D46+D47+D48+D49+D50+D51</f>
        <v/>
      </c>
      <c r="E52" s="18">
        <f>E46+E47+E48+E49+E50+E51</f>
        <v/>
      </c>
      <c r="F52" s="18">
        <f>F46+F47+F48+F49+F50+F51</f>
        <v/>
      </c>
      <c r="G52" s="18">
        <f>G46+G47+G48+G49+G50+G51</f>
        <v/>
      </c>
      <c r="H52" s="18">
        <f>H46+H47+H48+H49+H50+H51</f>
        <v/>
      </c>
      <c r="I52" s="18">
        <f>I46+I47+I48+I49+I50+I51</f>
        <v/>
      </c>
      <c r="J52" s="18">
        <f>J46+J47+J48+J49+J50+J51</f>
        <v/>
      </c>
      <c r="K52" s="18">
        <f>K46+K47+K48+K49+K50+K51</f>
        <v/>
      </c>
      <c r="L52" s="18">
        <f>L46+L47+L48+L49+L50+L51</f>
        <v/>
      </c>
      <c r="M52" s="18">
        <f>M46+M47+M48+M49+M50+M51</f>
        <v/>
      </c>
      <c r="N52" s="18">
        <f>N46+N47+N48+N49+N50+N51</f>
        <v/>
      </c>
      <c r="O52" s="18">
        <f>O46+O47+O48+O49+O50+O51</f>
        <v/>
      </c>
    </row>
    <row r="53">
      <c r="A53" s="4" t="inlineStr">
        <is>
          <t>Total liabilities</t>
        </is>
      </c>
      <c r="B53" s="18">
        <f>B44+B52</f>
        <v/>
      </c>
      <c r="C53" s="18">
        <f>C44+C52</f>
        <v/>
      </c>
      <c r="D53" s="18">
        <f>D44+D52</f>
        <v/>
      </c>
      <c r="E53" s="18">
        <f>E44+E52</f>
        <v/>
      </c>
      <c r="F53" s="18">
        <f>F44+F52</f>
        <v/>
      </c>
      <c r="G53" s="18">
        <f>G44+G52</f>
        <v/>
      </c>
      <c r="H53" s="18">
        <f>H44+H52</f>
        <v/>
      </c>
      <c r="I53" s="18">
        <f>I44+I52</f>
        <v/>
      </c>
      <c r="J53" s="18">
        <f>J44+J52</f>
        <v/>
      </c>
      <c r="K53" s="18">
        <f>K44+K52</f>
        <v/>
      </c>
      <c r="L53" s="18">
        <f>L44+L52</f>
        <v/>
      </c>
      <c r="M53" s="18">
        <f>M44+M52</f>
        <v/>
      </c>
      <c r="N53" s="18">
        <f>N44+N52</f>
        <v/>
      </c>
      <c r="O53" s="18">
        <f>O44+O52</f>
        <v/>
      </c>
    </row>
    <row r="54">
      <c r="A54" s="22" t="inlineStr">
        <is>
          <t>TOTAL EQUITY &amp; LIABILITIES</t>
        </is>
      </c>
      <c r="B54" s="23">
        <f>B36+B53</f>
        <v/>
      </c>
      <c r="C54" s="23">
        <f>C36+C53</f>
        <v/>
      </c>
      <c r="D54" s="23">
        <f>D36+D53</f>
        <v/>
      </c>
      <c r="E54" s="23">
        <f>E36+E53</f>
        <v/>
      </c>
      <c r="F54" s="23">
        <f>F36+F53</f>
        <v/>
      </c>
      <c r="G54" s="23">
        <f>G36+G53</f>
        <v/>
      </c>
      <c r="H54" s="23">
        <f>H36+H53</f>
        <v/>
      </c>
      <c r="I54" s="23">
        <f>I36+I53</f>
        <v/>
      </c>
      <c r="J54" s="23">
        <f>J36+J53</f>
        <v/>
      </c>
      <c r="K54" s="23">
        <f>K36+K53</f>
        <v/>
      </c>
      <c r="L54" s="23">
        <f>L36+L53</f>
        <v/>
      </c>
      <c r="M54" s="23">
        <f>M36+M53</f>
        <v/>
      </c>
      <c r="N54" s="23">
        <f>N36+N53</f>
        <v/>
      </c>
      <c r="O54" s="23">
        <f>O36+O53</f>
        <v/>
      </c>
    </row>
    <row r="55">
      <c r="A55" s="4" t="inlineStr">
        <is>
          <t>Balance check (Assets - E&amp;L)</t>
        </is>
      </c>
      <c r="B55" s="45">
        <f>B32-B54</f>
        <v/>
      </c>
      <c r="C55" s="45">
        <f>C32-C54</f>
        <v/>
      </c>
      <c r="D55" s="45">
        <f>D32-D54</f>
        <v/>
      </c>
      <c r="E55" s="45">
        <f>E32-E54</f>
        <v/>
      </c>
      <c r="F55" s="45">
        <f>F32-F54</f>
        <v/>
      </c>
      <c r="G55" s="45">
        <f>G32-G54</f>
        <v/>
      </c>
      <c r="H55" s="45">
        <f>H32-H54</f>
        <v/>
      </c>
      <c r="I55" s="45">
        <f>I32-I54</f>
        <v/>
      </c>
      <c r="J55" s="45">
        <f>J32-J54</f>
        <v/>
      </c>
      <c r="K55" s="45">
        <f>K32-K54</f>
        <v/>
      </c>
      <c r="L55" s="45">
        <f>L32-L54</f>
        <v/>
      </c>
      <c r="M55" s="45">
        <f>M32-M54</f>
        <v/>
      </c>
      <c r="N55" s="45">
        <f>N32-N54</f>
        <v/>
      </c>
      <c r="O55" s="45">
        <f>O32-O54</f>
        <v/>
      </c>
    </row>
  </sheetData>
  <mergeCells count="1">
    <mergeCell ref="A1:O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23.  INTEGRATED CASH FLOW STATEMENT  (FY20A-FY33E)</t>
        </is>
      </c>
    </row>
    <row r="4">
      <c r="A4" s="15" t="inlineStr">
        <is>
          <t>INR Crore unless stated</t>
        </is>
      </c>
      <c r="B4" s="16" t="inlineStr">
        <is>
          <t>FY20A</t>
        </is>
      </c>
      <c r="C4" s="16" t="inlineStr">
        <is>
          <t>FY21A</t>
        </is>
      </c>
      <c r="D4" s="16" t="inlineStr">
        <is>
          <t>FY22A</t>
        </is>
      </c>
      <c r="E4" s="16" t="inlineStr">
        <is>
          <t>FY23A</t>
        </is>
      </c>
      <c r="F4" s="16" t="inlineStr">
        <is>
          <t>FY24A</t>
        </is>
      </c>
      <c r="G4" s="16" t="inlineStr">
        <is>
          <t>FY25A</t>
        </is>
      </c>
      <c r="H4" s="16" t="inlineStr">
        <is>
          <t>FY26A</t>
        </is>
      </c>
      <c r="I4" s="16" t="inlineStr">
        <is>
          <t>FY27E</t>
        </is>
      </c>
      <c r="J4" s="16" t="inlineStr">
        <is>
          <t>FY28E</t>
        </is>
      </c>
      <c r="K4" s="16" t="inlineStr">
        <is>
          <t>FY29E</t>
        </is>
      </c>
      <c r="L4" s="16" t="inlineStr">
        <is>
          <t>FY30E</t>
        </is>
      </c>
      <c r="M4" s="16" t="inlineStr">
        <is>
          <t>FY31E</t>
        </is>
      </c>
      <c r="N4" s="16" t="inlineStr">
        <is>
          <t>FY32E</t>
        </is>
      </c>
      <c r="O4" s="16" t="inlineStr">
        <is>
          <t>FY33E</t>
        </is>
      </c>
    </row>
    <row r="5">
      <c r="A5" s="19" t="inlineStr">
        <is>
          <t>Operating activities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A6" s="5" t="inlineStr">
        <is>
          <t>Profit after tax</t>
        </is>
      </c>
      <c r="I6" s="12">
        <f>'Integrated IS'!I25</f>
        <v/>
      </c>
      <c r="J6" s="12">
        <f>'Integrated IS'!J25</f>
        <v/>
      </c>
      <c r="K6" s="12">
        <f>'Integrated IS'!K25</f>
        <v/>
      </c>
      <c r="L6" s="12">
        <f>'Integrated IS'!L25</f>
        <v/>
      </c>
      <c r="M6" s="12">
        <f>'Integrated IS'!M25</f>
        <v/>
      </c>
      <c r="N6" s="12">
        <f>'Integrated IS'!N25</f>
        <v/>
      </c>
      <c r="O6" s="12">
        <f>'Integrated IS'!O25</f>
        <v/>
      </c>
    </row>
    <row r="7">
      <c r="A7" s="5" t="inlineStr">
        <is>
          <t>Add: Depreciation &amp; amortisation</t>
        </is>
      </c>
      <c r="I7" s="12">
        <f>'Integrated IS'!I16</f>
        <v/>
      </c>
      <c r="J7" s="12">
        <f>'Integrated IS'!J16</f>
        <v/>
      </c>
      <c r="K7" s="12">
        <f>'Integrated IS'!K16</f>
        <v/>
      </c>
      <c r="L7" s="12">
        <f>'Integrated IS'!L16</f>
        <v/>
      </c>
      <c r="M7" s="12">
        <f>'Integrated IS'!M16</f>
        <v/>
      </c>
      <c r="N7" s="12">
        <f>'Integrated IS'!N16</f>
        <v/>
      </c>
      <c r="O7" s="12">
        <f>'Integrated IS'!O16</f>
        <v/>
      </c>
    </row>
    <row r="8">
      <c r="A8" s="5" t="inlineStr">
        <is>
          <t>Add: Finance costs</t>
        </is>
      </c>
      <c r="I8" s="12">
        <f>'Integrated IS'!I18</f>
        <v/>
      </c>
      <c r="J8" s="12">
        <f>'Integrated IS'!J18</f>
        <v/>
      </c>
      <c r="K8" s="12">
        <f>'Integrated IS'!K18</f>
        <v/>
      </c>
      <c r="L8" s="12">
        <f>'Integrated IS'!L18</f>
        <v/>
      </c>
      <c r="M8" s="12">
        <f>'Integrated IS'!M18</f>
        <v/>
      </c>
      <c r="N8" s="12">
        <f>'Integrated IS'!N18</f>
        <v/>
      </c>
      <c r="O8" s="12">
        <f>'Integrated IS'!O18</f>
        <v/>
      </c>
    </row>
    <row r="9">
      <c r="A9" s="5" t="inlineStr">
        <is>
          <t>Less: Increase in net working capital</t>
        </is>
      </c>
      <c r="I9" s="12">
        <f>-'Working Capital'!I12</f>
        <v/>
      </c>
      <c r="J9" s="12">
        <f>-'Working Capital'!J12</f>
        <v/>
      </c>
      <c r="K9" s="12">
        <f>-'Working Capital'!K12</f>
        <v/>
      </c>
      <c r="L9" s="12">
        <f>-'Working Capital'!L12</f>
        <v/>
      </c>
      <c r="M9" s="12">
        <f>-'Working Capital'!M12</f>
        <v/>
      </c>
      <c r="N9" s="12">
        <f>-'Working Capital'!N12</f>
        <v/>
      </c>
      <c r="O9" s="12">
        <f>-'Working Capital'!O12</f>
        <v/>
      </c>
    </row>
    <row r="10">
      <c r="A10" s="22" t="inlineStr">
        <is>
          <t>Net cash from operating activities</t>
        </is>
      </c>
      <c r="B10" s="46">
        <f>'Historical CF'!B5</f>
        <v/>
      </c>
      <c r="C10" s="46">
        <f>'Historical CF'!C5</f>
        <v/>
      </c>
      <c r="D10" s="46">
        <f>'Historical CF'!D5</f>
        <v/>
      </c>
      <c r="E10" s="46">
        <f>'Historical CF'!E5</f>
        <v/>
      </c>
      <c r="F10" s="46">
        <f>'Historical CF'!F5</f>
        <v/>
      </c>
      <c r="G10" s="46">
        <f>'Historical CF'!G5</f>
        <v/>
      </c>
      <c r="H10" s="46">
        <f>'Historical CF'!H5</f>
        <v/>
      </c>
      <c r="I10" s="23">
        <f>I6+I7+I8+I9</f>
        <v/>
      </c>
      <c r="J10" s="23">
        <f>J6+J7+J8+J9</f>
        <v/>
      </c>
      <c r="K10" s="23">
        <f>K6+K7+K8+K9</f>
        <v/>
      </c>
      <c r="L10" s="23">
        <f>L6+L7+L8+L9</f>
        <v/>
      </c>
      <c r="M10" s="23">
        <f>M6+M7+M8+M9</f>
        <v/>
      </c>
      <c r="N10" s="23">
        <f>N6+N7+N8+N9</f>
        <v/>
      </c>
      <c r="O10" s="23">
        <f>O6+O7+O8+O9</f>
        <v/>
      </c>
    </row>
    <row r="11">
      <c r="A11" s="19" t="inlineStr">
        <is>
          <t>Investing activities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>
      <c r="A12" s="5" t="inlineStr">
        <is>
          <t>Capex</t>
        </is>
      </c>
      <c r="I12" s="12">
        <f>-'Capex Expansion'!I5</f>
        <v/>
      </c>
      <c r="J12" s="12">
        <f>-'Capex Expansion'!J5</f>
        <v/>
      </c>
      <c r="K12" s="12">
        <f>-'Capex Expansion'!K5</f>
        <v/>
      </c>
      <c r="L12" s="12">
        <f>-'Capex Expansion'!L5</f>
        <v/>
      </c>
      <c r="M12" s="12">
        <f>-'Capex Expansion'!M5</f>
        <v/>
      </c>
      <c r="N12" s="12">
        <f>-'Capex Expansion'!N5</f>
        <v/>
      </c>
      <c r="O12" s="12">
        <f>-'Capex Expansion'!O5</f>
        <v/>
      </c>
    </row>
    <row r="13">
      <c r="A13" s="22" t="inlineStr">
        <is>
          <t>Net cash used in investing activities</t>
        </is>
      </c>
      <c r="B13" s="46">
        <f>'Historical CF'!B7</f>
        <v/>
      </c>
      <c r="C13" s="46">
        <f>'Historical CF'!C7</f>
        <v/>
      </c>
      <c r="D13" s="46">
        <f>'Historical CF'!D7</f>
        <v/>
      </c>
      <c r="E13" s="46">
        <f>'Historical CF'!E7</f>
        <v/>
      </c>
      <c r="F13" s="46">
        <f>'Historical CF'!F7</f>
        <v/>
      </c>
      <c r="G13" s="46">
        <f>'Historical CF'!G7</f>
        <v/>
      </c>
      <c r="H13" s="46">
        <f>'Historical CF'!H7</f>
        <v/>
      </c>
      <c r="I13" s="23">
        <f>I12</f>
        <v/>
      </c>
      <c r="J13" s="23">
        <f>J12</f>
        <v/>
      </c>
      <c r="K13" s="23">
        <f>K12</f>
        <v/>
      </c>
      <c r="L13" s="23">
        <f>L12</f>
        <v/>
      </c>
      <c r="M13" s="23">
        <f>M12</f>
        <v/>
      </c>
      <c r="N13" s="23">
        <f>N12</f>
        <v/>
      </c>
      <c r="O13" s="23">
        <f>O12</f>
        <v/>
      </c>
    </row>
    <row r="14">
      <c r="A14" s="19" t="inlineStr">
        <is>
          <t>Financing activities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>
      <c r="A15" s="5" t="inlineStr">
        <is>
          <t>Net debt drawdown/(repayment)</t>
        </is>
      </c>
      <c r="I15" s="12">
        <f>'Debt Schedule'!I7</f>
        <v/>
      </c>
      <c r="J15" s="12">
        <f>'Debt Schedule'!J7</f>
        <v/>
      </c>
      <c r="K15" s="12">
        <f>'Debt Schedule'!K7</f>
        <v/>
      </c>
      <c r="L15" s="12">
        <f>'Debt Schedule'!L7</f>
        <v/>
      </c>
      <c r="M15" s="12">
        <f>'Debt Schedule'!M7</f>
        <v/>
      </c>
      <c r="N15" s="12">
        <f>'Debt Schedule'!N7</f>
        <v/>
      </c>
      <c r="O15" s="12">
        <f>'Debt Schedule'!O7</f>
        <v/>
      </c>
    </row>
    <row r="16">
      <c r="A16" s="5" t="inlineStr">
        <is>
          <t>Interest paid</t>
        </is>
      </c>
      <c r="I16" s="12">
        <f>-'Integrated IS'!I18</f>
        <v/>
      </c>
      <c r="J16" s="12">
        <f>-'Integrated IS'!J18</f>
        <v/>
      </c>
      <c r="K16" s="12">
        <f>-'Integrated IS'!K18</f>
        <v/>
      </c>
      <c r="L16" s="12">
        <f>-'Integrated IS'!L18</f>
        <v/>
      </c>
      <c r="M16" s="12">
        <f>-'Integrated IS'!M18</f>
        <v/>
      </c>
      <c r="N16" s="12">
        <f>-'Integrated IS'!N18</f>
        <v/>
      </c>
      <c r="O16" s="12">
        <f>-'Integrated IS'!O18</f>
        <v/>
      </c>
    </row>
    <row r="17">
      <c r="A17" s="5" t="inlineStr">
        <is>
          <t>Dividends paid</t>
        </is>
      </c>
      <c r="I17" s="12">
        <f>-'Integrated IS'!I25*'Assumptions'!I36</f>
        <v/>
      </c>
      <c r="J17" s="12">
        <f>-'Integrated IS'!J25*'Assumptions'!I36</f>
        <v/>
      </c>
      <c r="K17" s="12">
        <f>-'Integrated IS'!K25*'Assumptions'!I36</f>
        <v/>
      </c>
      <c r="L17" s="12">
        <f>-'Integrated IS'!L25*'Assumptions'!I36</f>
        <v/>
      </c>
      <c r="M17" s="12">
        <f>-'Integrated IS'!M25*'Assumptions'!I36</f>
        <v/>
      </c>
      <c r="N17" s="12">
        <f>-'Integrated IS'!N25*'Assumptions'!I36</f>
        <v/>
      </c>
      <c r="O17" s="12">
        <f>-'Integrated IS'!O25*'Assumptions'!I36</f>
        <v/>
      </c>
    </row>
    <row r="18">
      <c r="A18" s="5" t="inlineStr">
        <is>
          <t>Lease principal payment</t>
        </is>
      </c>
      <c r="I18" s="12">
        <f>-'Lease Schedule'!I8</f>
        <v/>
      </c>
      <c r="J18" s="12">
        <f>-'Lease Schedule'!J8</f>
        <v/>
      </c>
      <c r="K18" s="12">
        <f>-'Lease Schedule'!K8</f>
        <v/>
      </c>
      <c r="L18" s="12">
        <f>-'Lease Schedule'!L8</f>
        <v/>
      </c>
      <c r="M18" s="12">
        <f>-'Lease Schedule'!M8</f>
        <v/>
      </c>
      <c r="N18" s="12">
        <f>-'Lease Schedule'!N8</f>
        <v/>
      </c>
      <c r="O18" s="12">
        <f>-'Lease Schedule'!O8</f>
        <v/>
      </c>
    </row>
    <row r="19">
      <c r="A19" s="22" t="inlineStr">
        <is>
          <t>Net cash from financing activities</t>
        </is>
      </c>
      <c r="B19" s="46">
        <f>'Historical CF'!B9</f>
        <v/>
      </c>
      <c r="C19" s="46">
        <f>'Historical CF'!C9</f>
        <v/>
      </c>
      <c r="D19" s="46">
        <f>'Historical CF'!D9</f>
        <v/>
      </c>
      <c r="E19" s="46">
        <f>'Historical CF'!E9</f>
        <v/>
      </c>
      <c r="F19" s="46">
        <f>'Historical CF'!F9</f>
        <v/>
      </c>
      <c r="G19" s="46">
        <f>'Historical CF'!G9</f>
        <v/>
      </c>
      <c r="H19" s="46">
        <f>'Historical CF'!H9</f>
        <v/>
      </c>
      <c r="I19" s="23">
        <f>I15+I16+I17+I18</f>
        <v/>
      </c>
      <c r="J19" s="23">
        <f>J15+J16+J17+J18</f>
        <v/>
      </c>
      <c r="K19" s="23">
        <f>K15+K16+K17+K18</f>
        <v/>
      </c>
      <c r="L19" s="23">
        <f>L15+L16+L17+L18</f>
        <v/>
      </c>
      <c r="M19" s="23">
        <f>M15+M16+M17+M18</f>
        <v/>
      </c>
      <c r="N19" s="23">
        <f>N15+N16+N17+N18</f>
        <v/>
      </c>
      <c r="O19" s="23">
        <f>O15+O16+O17+O18</f>
        <v/>
      </c>
    </row>
    <row r="20">
      <c r="A20" s="4" t="inlineStr">
        <is>
          <t>Net increase/(decrease) in cash</t>
        </is>
      </c>
      <c r="B20" s="18">
        <f>B10+B13+B19</f>
        <v/>
      </c>
      <c r="C20" s="18">
        <f>C10+C13+C19</f>
        <v/>
      </c>
      <c r="D20" s="18">
        <f>D10+D13+D19</f>
        <v/>
      </c>
      <c r="E20" s="18">
        <f>E10+E13+E19</f>
        <v/>
      </c>
      <c r="F20" s="18">
        <f>F10+F13+F19</f>
        <v/>
      </c>
      <c r="G20" s="18">
        <f>G10+G13+G19</f>
        <v/>
      </c>
      <c r="H20" s="18">
        <f>H10+H13+H19</f>
        <v/>
      </c>
      <c r="I20" s="18">
        <f>I10+I13+I19</f>
        <v/>
      </c>
      <c r="J20" s="18">
        <f>J10+J13+J19</f>
        <v/>
      </c>
      <c r="K20" s="18">
        <f>K10+K13+K19</f>
        <v/>
      </c>
      <c r="L20" s="18">
        <f>L10+L13+L19</f>
        <v/>
      </c>
      <c r="M20" s="18">
        <f>M10+M13+M19</f>
        <v/>
      </c>
      <c r="N20" s="18">
        <f>N10+N13+N19</f>
        <v/>
      </c>
      <c r="O20" s="18">
        <f>O10+O13+O19</f>
        <v/>
      </c>
    </row>
    <row r="21">
      <c r="A21" s="5" t="inlineStr">
        <is>
          <t>Opening cash</t>
        </is>
      </c>
      <c r="I21" s="12">
        <f>'Historical BS'!H25</f>
        <v/>
      </c>
      <c r="J21" s="21">
        <f>I22</f>
        <v/>
      </c>
      <c r="K21" s="21">
        <f>J22</f>
        <v/>
      </c>
      <c r="L21" s="21">
        <f>K22</f>
        <v/>
      </c>
      <c r="M21" s="21">
        <f>L22</f>
        <v/>
      </c>
      <c r="N21" s="21">
        <f>M22</f>
        <v/>
      </c>
      <c r="O21" s="21">
        <f>N22</f>
        <v/>
      </c>
    </row>
    <row r="22">
      <c r="A22" s="22" t="inlineStr">
        <is>
          <t>Closing cash</t>
        </is>
      </c>
      <c r="I22" s="23">
        <f>I21+I20</f>
        <v/>
      </c>
      <c r="J22" s="23">
        <f>J21+J20</f>
        <v/>
      </c>
      <c r="K22" s="23">
        <f>K21+K20</f>
        <v/>
      </c>
      <c r="L22" s="23">
        <f>L21+L20</f>
        <v/>
      </c>
      <c r="M22" s="23">
        <f>M21+M20</f>
        <v/>
      </c>
      <c r="N22" s="23">
        <f>N21+N20</f>
        <v/>
      </c>
      <c r="O22" s="23">
        <f>O21+O20</f>
        <v/>
      </c>
    </row>
  </sheetData>
  <mergeCells count="1">
    <mergeCell ref="A1:O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.5" customWidth="1" min="2" max="2"/>
    <col width="13" customWidth="1" min="3" max="3"/>
    <col width="13" customWidth="1" min="4" max="4"/>
    <col width="13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24.  SCENARIO ANALYSIS  (Bear / Base / Bull)</t>
        </is>
      </c>
    </row>
    <row r="3">
      <c r="A3" s="15" t="inlineStr">
        <is>
          <t>Base is linked to the live model. Bear/Bull are re-runs of the operating model with the assumption changes listed below (hardcoded results).</t>
        </is>
      </c>
    </row>
    <row r="4">
      <c r="C4" s="11" t="inlineStr">
        <is>
          <t>Bear</t>
        </is>
      </c>
      <c r="D4" s="11" t="inlineStr">
        <is>
          <t>Base</t>
        </is>
      </c>
      <c r="E4" s="11" t="inlineStr">
        <is>
          <t>Bull</t>
        </is>
      </c>
    </row>
    <row r="5">
      <c r="A5" s="19" t="inlineStr">
        <is>
          <t>Key assumption changes vs Base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A6" s="5" t="inlineStr">
        <is>
          <t xml:space="preserve">   Occupancy delta (pp)</t>
        </is>
      </c>
      <c r="C6" s="47" t="inlineStr">
        <is>
          <t>-3.0</t>
        </is>
      </c>
      <c r="D6" s="48" t="inlineStr">
        <is>
          <t>Base</t>
        </is>
      </c>
      <c r="E6" s="47" t="inlineStr">
        <is>
          <t>+2.0</t>
        </is>
      </c>
    </row>
    <row r="7">
      <c r="A7" s="5" t="inlineStr">
        <is>
          <t xml:space="preserve">   ARPOB growth delta (pp)</t>
        </is>
      </c>
      <c r="C7" s="47" t="inlineStr">
        <is>
          <t>-1.5</t>
        </is>
      </c>
      <c r="D7" s="48" t="inlineStr">
        <is>
          <t>Base</t>
        </is>
      </c>
      <c r="E7" s="47" t="inlineStr">
        <is>
          <t>+1.0</t>
        </is>
      </c>
    </row>
    <row r="8">
      <c r="A8" s="5" t="inlineStr">
        <is>
          <t xml:space="preserve">   Bed-add factor</t>
        </is>
      </c>
      <c r="C8" s="47" t="inlineStr">
        <is>
          <t>0.80x</t>
        </is>
      </c>
      <c r="D8" s="47" t="inlineStr">
        <is>
          <t>1.00x</t>
        </is>
      </c>
      <c r="E8" s="47" t="inlineStr">
        <is>
          <t>1.10x</t>
        </is>
      </c>
    </row>
    <row r="9">
      <c r="A9" s="5" t="inlineStr">
        <is>
          <t xml:space="preserve">   Cost ratio delta (pp)</t>
        </is>
      </c>
      <c r="C9" s="47" t="inlineStr">
        <is>
          <t>+0.5</t>
        </is>
      </c>
      <c r="D9" s="48" t="inlineStr">
        <is>
          <t>Base</t>
        </is>
      </c>
      <c r="E9" s="47" t="inlineStr">
        <is>
          <t>-0.5</t>
        </is>
      </c>
    </row>
    <row r="10">
      <c r="A10" s="5" t="inlineStr">
        <is>
          <t xml:space="preserve">   Capex factor</t>
        </is>
      </c>
      <c r="C10" s="47" t="inlineStr">
        <is>
          <t>1.05x</t>
        </is>
      </c>
      <c r="D10" s="47" t="inlineStr">
        <is>
          <t>1.00x</t>
        </is>
      </c>
      <c r="E10" s="47" t="inlineStr">
        <is>
          <t>1.00x</t>
        </is>
      </c>
    </row>
    <row r="11">
      <c r="A11" s="19" t="inlineStr">
        <is>
          <t>FY33E outcomes (Rs Cr)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>
      <c r="A12" s="5" t="inlineStr">
        <is>
          <t>Revenue (FY33E)</t>
        </is>
      </c>
      <c r="C12" s="17" t="n">
        <v>25052.64</v>
      </c>
      <c r="D12" s="12">
        <f>'Integrated IS'!O5</f>
        <v/>
      </c>
      <c r="E12" s="17" t="n">
        <v>36915.23</v>
      </c>
    </row>
    <row r="13">
      <c r="A13" s="5" t="inlineStr">
        <is>
          <t>EBITDA (FY33E)</t>
        </is>
      </c>
      <c r="C13" s="17" t="n">
        <v>6864.42</v>
      </c>
      <c r="D13" s="12">
        <f>'Integrated IS'!O13</f>
        <v/>
      </c>
      <c r="E13" s="17" t="n">
        <v>11591.38</v>
      </c>
    </row>
    <row r="14">
      <c r="A14" s="5" t="inlineStr">
        <is>
          <t>EBITDA margin (FY33E)</t>
        </is>
      </c>
      <c r="C14" s="32" t="n">
        <v>0.27</v>
      </c>
      <c r="D14" s="9">
        <f>'Integrated IS'!O14</f>
        <v/>
      </c>
      <c r="E14" s="32" t="n">
        <v>0.31</v>
      </c>
    </row>
    <row r="15">
      <c r="A15" s="5" t="inlineStr">
        <is>
          <t>PAT (FY33E)</t>
        </is>
      </c>
      <c r="C15" s="17" t="n">
        <v>4582.5</v>
      </c>
      <c r="D15" s="12">
        <f>'Integrated IS'!O25</f>
        <v/>
      </c>
      <c r="E15" s="17" t="n">
        <v>8363.290000000001</v>
      </c>
    </row>
    <row r="16">
      <c r="A16" s="19" t="inlineStr">
        <is>
          <t>Valuation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>
      <c r="A17" s="5" t="inlineStr">
        <is>
          <t>DCF Target price (Gordon, Rs)</t>
        </is>
      </c>
      <c r="C17" s="38" t="n">
        <v>382.62</v>
      </c>
      <c r="D17" s="7">
        <f>'DCF'!C33</f>
        <v/>
      </c>
      <c r="E17" s="38" t="n">
        <v>755.38</v>
      </c>
    </row>
    <row r="18">
      <c r="A18" s="5" t="inlineStr">
        <is>
          <t>Current market price (Rs)</t>
        </is>
      </c>
      <c r="C18" s="7">
        <f>'Assumptions'!I43</f>
        <v/>
      </c>
      <c r="D18" s="7">
        <f>'Assumptions'!I43</f>
        <v/>
      </c>
      <c r="E18" s="7">
        <f>'Assumptions'!I43</f>
        <v/>
      </c>
    </row>
  </sheetData>
  <mergeCells count="1">
    <mergeCell ref="A1:O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25.  DCF VALUATION (FCFF)</t>
        </is>
      </c>
    </row>
    <row r="3">
      <c r="A3" s="4" t="inlineStr">
        <is>
          <t>WACC build-up</t>
        </is>
      </c>
    </row>
    <row r="4">
      <c r="A4" s="5" t="inlineStr">
        <is>
          <t>Risk-free rate</t>
        </is>
      </c>
      <c r="C4" s="9">
        <f>'Assumptions'!I38</f>
        <v/>
      </c>
    </row>
    <row r="5">
      <c r="A5" s="5" t="inlineStr">
        <is>
          <t>Equity risk premium</t>
        </is>
      </c>
      <c r="C5" s="9">
        <f>'Assumptions'!I39</f>
        <v/>
      </c>
    </row>
    <row r="6">
      <c r="A6" s="5" t="inlineStr">
        <is>
          <t>Beta</t>
        </is>
      </c>
      <c r="C6" s="7">
        <f>'Assumptions'!I40</f>
        <v/>
      </c>
    </row>
    <row r="7">
      <c r="A7" s="5" t="inlineStr">
        <is>
          <t>Cost of equity (CAPM)</t>
        </is>
      </c>
      <c r="C7" s="24">
        <f>C4+C6*C5</f>
        <v/>
      </c>
    </row>
    <row r="8">
      <c r="A8" s="5" t="inlineStr">
        <is>
          <t>Pre-tax cost of debt</t>
        </is>
      </c>
      <c r="C8" s="9">
        <f>'Assumptions'!I41</f>
        <v/>
      </c>
    </row>
    <row r="9">
      <c r="A9" s="5" t="inlineStr">
        <is>
          <t>Tax rate</t>
        </is>
      </c>
      <c r="C9" s="9">
        <f>'Assumptions'!I35</f>
        <v/>
      </c>
    </row>
    <row r="10">
      <c r="A10" s="5" t="inlineStr">
        <is>
          <t>Market cap (Rs Cr) = price x shares</t>
        </is>
      </c>
      <c r="C10" s="12">
        <f>'Assumptions'!I43*'Assumptions'!I44</f>
        <v/>
      </c>
    </row>
    <row r="11">
      <c r="A11" s="5" t="inlineStr">
        <is>
          <t>Gross debt FY26 (Rs Cr)</t>
        </is>
      </c>
      <c r="C11" s="12">
        <f>'Historical BS'!H38+'Historical BS'!H46</f>
        <v/>
      </c>
    </row>
    <row r="12">
      <c r="A12" s="5" t="inlineStr">
        <is>
          <t>Weight of equity</t>
        </is>
      </c>
      <c r="C12" s="24">
        <f>C10/(C10+C11)</f>
        <v/>
      </c>
    </row>
    <row r="13">
      <c r="A13" s="5" t="inlineStr">
        <is>
          <t>Weight of debt</t>
        </is>
      </c>
      <c r="C13" s="24">
        <f>C11/(C10+C11)</f>
        <v/>
      </c>
    </row>
    <row r="14">
      <c r="A14" s="5" t="inlineStr">
        <is>
          <t>WACC</t>
        </is>
      </c>
      <c r="C14" s="24">
        <f>C12*C7+C13*C8*(1-C9)</f>
        <v/>
      </c>
    </row>
    <row r="15">
      <c r="A15" s="5" t="inlineStr">
        <is>
          <t>Terminal growth rate</t>
        </is>
      </c>
      <c r="C15" s="9">
        <f>'Assumptions'!I42</f>
        <v/>
      </c>
    </row>
    <row r="16">
      <c r="A16" s="15" t="inlineStr">
        <is>
          <t>INR Crore unless stated</t>
        </is>
      </c>
      <c r="B16" s="16" t="inlineStr">
        <is>
          <t>FY20A</t>
        </is>
      </c>
      <c r="C16" s="16" t="inlineStr">
        <is>
          <t>FY21A</t>
        </is>
      </c>
      <c r="D16" s="16" t="inlineStr">
        <is>
          <t>FY22A</t>
        </is>
      </c>
      <c r="E16" s="16" t="inlineStr">
        <is>
          <t>FY23A</t>
        </is>
      </c>
      <c r="F16" s="16" t="inlineStr">
        <is>
          <t>FY24A</t>
        </is>
      </c>
      <c r="G16" s="16" t="inlineStr">
        <is>
          <t>FY25A</t>
        </is>
      </c>
      <c r="H16" s="16" t="inlineStr">
        <is>
          <t>FY26A</t>
        </is>
      </c>
      <c r="I16" s="16" t="inlineStr">
        <is>
          <t>FY27E</t>
        </is>
      </c>
      <c r="J16" s="16" t="inlineStr">
        <is>
          <t>FY28E</t>
        </is>
      </c>
      <c r="K16" s="16" t="inlineStr">
        <is>
          <t>FY29E</t>
        </is>
      </c>
      <c r="L16" s="16" t="inlineStr">
        <is>
          <t>FY30E</t>
        </is>
      </c>
      <c r="M16" s="16" t="inlineStr">
        <is>
          <t>FY31E</t>
        </is>
      </c>
      <c r="N16" s="16" t="inlineStr">
        <is>
          <t>FY32E</t>
        </is>
      </c>
      <c r="O16" s="16" t="inlineStr">
        <is>
          <t>FY33E</t>
        </is>
      </c>
    </row>
    <row r="17">
      <c r="A17" s="5" t="inlineStr">
        <is>
          <t>EBIT</t>
        </is>
      </c>
      <c r="I17" s="12">
        <f>'Integrated IS'!I17</f>
        <v/>
      </c>
      <c r="J17" s="12">
        <f>'Integrated IS'!J17</f>
        <v/>
      </c>
      <c r="K17" s="12">
        <f>'Integrated IS'!K17</f>
        <v/>
      </c>
      <c r="L17" s="12">
        <f>'Integrated IS'!L17</f>
        <v/>
      </c>
      <c r="M17" s="12">
        <f>'Integrated IS'!M17</f>
        <v/>
      </c>
      <c r="N17" s="12">
        <f>'Integrated IS'!N17</f>
        <v/>
      </c>
      <c r="O17" s="12">
        <f>'Integrated IS'!O17</f>
        <v/>
      </c>
    </row>
    <row r="18">
      <c r="A18" s="5" t="inlineStr">
        <is>
          <t>NOPAT = EBIT x (1-t)</t>
        </is>
      </c>
      <c r="I18" s="21">
        <f>I17*(1-$C$9)</f>
        <v/>
      </c>
      <c r="J18" s="21">
        <f>J17*(1-$C$9)</f>
        <v/>
      </c>
      <c r="K18" s="21">
        <f>K17*(1-$C$9)</f>
        <v/>
      </c>
      <c r="L18" s="21">
        <f>L17*(1-$C$9)</f>
        <v/>
      </c>
      <c r="M18" s="21">
        <f>M17*(1-$C$9)</f>
        <v/>
      </c>
      <c r="N18" s="21">
        <f>N17*(1-$C$9)</f>
        <v/>
      </c>
      <c r="O18" s="21">
        <f>O17*(1-$C$9)</f>
        <v/>
      </c>
    </row>
    <row r="19">
      <c r="A19" s="5" t="inlineStr">
        <is>
          <t>Add: D&amp;A</t>
        </is>
      </c>
      <c r="I19" s="12">
        <f>'Integrated IS'!I16</f>
        <v/>
      </c>
      <c r="J19" s="12">
        <f>'Integrated IS'!J16</f>
        <v/>
      </c>
      <c r="K19" s="12">
        <f>'Integrated IS'!K16</f>
        <v/>
      </c>
      <c r="L19" s="12">
        <f>'Integrated IS'!L16</f>
        <v/>
      </c>
      <c r="M19" s="12">
        <f>'Integrated IS'!M16</f>
        <v/>
      </c>
      <c r="N19" s="12">
        <f>'Integrated IS'!N16</f>
        <v/>
      </c>
      <c r="O19" s="12">
        <f>'Integrated IS'!O16</f>
        <v/>
      </c>
    </row>
    <row r="20">
      <c r="A20" s="5" t="inlineStr">
        <is>
          <t>Less: Capex</t>
        </is>
      </c>
      <c r="I20" s="12">
        <f>-'Capex Expansion'!I5</f>
        <v/>
      </c>
      <c r="J20" s="12">
        <f>-'Capex Expansion'!J5</f>
        <v/>
      </c>
      <c r="K20" s="12">
        <f>-'Capex Expansion'!K5</f>
        <v/>
      </c>
      <c r="L20" s="12">
        <f>-'Capex Expansion'!L5</f>
        <v/>
      </c>
      <c r="M20" s="12">
        <f>-'Capex Expansion'!M5</f>
        <v/>
      </c>
      <c r="N20" s="12">
        <f>-'Capex Expansion'!N5</f>
        <v/>
      </c>
      <c r="O20" s="12">
        <f>-'Capex Expansion'!O5</f>
        <v/>
      </c>
    </row>
    <row r="21">
      <c r="A21" s="5" t="inlineStr">
        <is>
          <t>Less: Increase in NWC</t>
        </is>
      </c>
      <c r="I21" s="12">
        <f>-'Working Capital'!I12</f>
        <v/>
      </c>
      <c r="J21" s="12">
        <f>-'Working Capital'!J12</f>
        <v/>
      </c>
      <c r="K21" s="12">
        <f>-'Working Capital'!K12</f>
        <v/>
      </c>
      <c r="L21" s="12">
        <f>-'Working Capital'!L12</f>
        <v/>
      </c>
      <c r="M21" s="12">
        <f>-'Working Capital'!M12</f>
        <v/>
      </c>
      <c r="N21" s="12">
        <f>-'Working Capital'!N12</f>
        <v/>
      </c>
      <c r="O21" s="12">
        <f>-'Working Capital'!O12</f>
        <v/>
      </c>
    </row>
    <row r="22">
      <c r="A22" s="22" t="inlineStr">
        <is>
          <t>Free cash flow to firm (FCFF)</t>
        </is>
      </c>
      <c r="I22" s="23">
        <f>I18+I19+I20+I21</f>
        <v/>
      </c>
      <c r="J22" s="23">
        <f>J18+J19+J20+J21</f>
        <v/>
      </c>
      <c r="K22" s="23">
        <f>K18+K19+K20+K21</f>
        <v/>
      </c>
      <c r="L22" s="23">
        <f>L18+L19+L20+L21</f>
        <v/>
      </c>
      <c r="M22" s="23">
        <f>M18+M19+M20+M21</f>
        <v/>
      </c>
      <c r="N22" s="23">
        <f>N18+N19+N20+N21</f>
        <v/>
      </c>
      <c r="O22" s="23">
        <f>O18+O19+O20+O21</f>
        <v/>
      </c>
    </row>
    <row r="23">
      <c r="A23" s="5" t="inlineStr">
        <is>
          <t>Discount period</t>
        </is>
      </c>
      <c r="I23" s="17" t="n">
        <v>1</v>
      </c>
      <c r="J23" s="17" t="n">
        <v>2</v>
      </c>
      <c r="K23" s="17" t="n">
        <v>3</v>
      </c>
      <c r="L23" s="17" t="n">
        <v>4</v>
      </c>
      <c r="M23" s="17" t="n">
        <v>5</v>
      </c>
      <c r="N23" s="17" t="n">
        <v>6</v>
      </c>
      <c r="O23" s="17" t="n">
        <v>7</v>
      </c>
    </row>
    <row r="24">
      <c r="A24" s="5" t="inlineStr">
        <is>
          <t>Discount factor</t>
        </is>
      </c>
      <c r="I24" s="26">
        <f>1/(1+$C$14)^I23</f>
        <v/>
      </c>
      <c r="J24" s="26">
        <f>1/(1+$C$14)^J23</f>
        <v/>
      </c>
      <c r="K24" s="26">
        <f>1/(1+$C$14)^K23</f>
        <v/>
      </c>
      <c r="L24" s="26">
        <f>1/(1+$C$14)^L23</f>
        <v/>
      </c>
      <c r="M24" s="26">
        <f>1/(1+$C$14)^M23</f>
        <v/>
      </c>
      <c r="N24" s="26">
        <f>1/(1+$C$14)^N23</f>
        <v/>
      </c>
      <c r="O24" s="26">
        <f>1/(1+$C$14)^O23</f>
        <v/>
      </c>
    </row>
    <row r="25">
      <c r="A25" s="4" t="inlineStr">
        <is>
          <t>PV of FCFF</t>
        </is>
      </c>
      <c r="I25" s="18">
        <f>I22*I24</f>
        <v/>
      </c>
      <c r="J25" s="18">
        <f>J22*J24</f>
        <v/>
      </c>
      <c r="K25" s="18">
        <f>K22*K24</f>
        <v/>
      </c>
      <c r="L25" s="18">
        <f>L22*L24</f>
        <v/>
      </c>
      <c r="M25" s="18">
        <f>M22*M24</f>
        <v/>
      </c>
      <c r="N25" s="18">
        <f>N22*N24</f>
        <v/>
      </c>
      <c r="O25" s="18">
        <f>O22*O24</f>
        <v/>
      </c>
    </row>
    <row r="26">
      <c r="A26" s="4" t="inlineStr">
        <is>
          <t>Valuation output (Rs Cr)</t>
        </is>
      </c>
    </row>
    <row r="27">
      <c r="A27" s="4" t="inlineStr">
        <is>
          <t>Sum of PV of explicit FCFF (FY27-33)</t>
        </is>
      </c>
      <c r="C27" s="18">
        <f>SUM(I25:O25)</f>
        <v/>
      </c>
    </row>
    <row r="28">
      <c r="A28" s="5" t="inlineStr">
        <is>
          <t>Terminal value (Gordon): FCFF_FY33 x (1+g)/(WACC-g)</t>
        </is>
      </c>
      <c r="C28" s="21">
        <f>O22*(1+C15)/(C14-C15)</f>
        <v/>
      </c>
    </row>
    <row r="29">
      <c r="A29" s="5" t="inlineStr">
        <is>
          <t>PV of terminal value</t>
        </is>
      </c>
      <c r="C29" s="21">
        <f>C28/(1+C14)^7</f>
        <v/>
      </c>
    </row>
    <row r="30">
      <c r="A30" s="4" t="inlineStr">
        <is>
          <t>Enterprise value</t>
        </is>
      </c>
      <c r="C30" s="18">
        <f>C27+C29</f>
        <v/>
      </c>
    </row>
    <row r="31">
      <c r="A31" s="5" t="inlineStr">
        <is>
          <t>Less: Net debt (FY26)</t>
        </is>
      </c>
      <c r="C31" s="12">
        <f>'Assumptions'!I45</f>
        <v/>
      </c>
    </row>
    <row r="32">
      <c r="A32" s="4" t="inlineStr">
        <is>
          <t>Equity value</t>
        </is>
      </c>
      <c r="C32" s="18">
        <f>C30-C31</f>
        <v/>
      </c>
    </row>
    <row r="33">
      <c r="A33" s="4" t="inlineStr">
        <is>
          <t>Target price / share (Rs) - Gordon</t>
        </is>
      </c>
      <c r="C33" s="8">
        <f>C32/'Assumptions'!I44</f>
        <v/>
      </c>
    </row>
    <row r="34">
      <c r="A34" s="5" t="inlineStr">
        <is>
          <t>Terminal value (Exit multiple): EBITDA_FY33 x exit x</t>
        </is>
      </c>
      <c r="C34" s="12">
        <f>'Integrated IS'!O13*'Assumptions'!I48</f>
        <v/>
      </c>
    </row>
    <row r="35">
      <c r="A35" s="5" t="inlineStr">
        <is>
          <t>PV of terminal value (exit)</t>
        </is>
      </c>
      <c r="C35" s="21">
        <f>C34/(1+C14)^7</f>
        <v/>
      </c>
    </row>
    <row r="36">
      <c r="A36" s="4" t="inlineStr">
        <is>
          <t>Enterprise value (exit multiple)</t>
        </is>
      </c>
      <c r="C36" s="18">
        <f>C27+C35</f>
        <v/>
      </c>
    </row>
    <row r="37">
      <c r="A37" s="5" t="inlineStr">
        <is>
          <t>Equity value (exit multiple)</t>
        </is>
      </c>
      <c r="C37" s="21">
        <f>C36-C31</f>
        <v/>
      </c>
    </row>
    <row r="38">
      <c r="A38" s="4" t="inlineStr">
        <is>
          <t>Target price / share (Rs) - Exit multiple</t>
        </is>
      </c>
      <c r="C38" s="8">
        <f>C37/'Assumptions'!I44</f>
        <v/>
      </c>
    </row>
    <row r="39">
      <c r="A39" s="5" t="inlineStr">
        <is>
          <t>Current market price (Rs)</t>
        </is>
      </c>
      <c r="C39" s="7">
        <f>'Assumptions'!I43</f>
        <v/>
      </c>
    </row>
  </sheetData>
  <mergeCells count="1">
    <mergeCell ref="A1:O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26.  RELATIVE VALUATION &amp; PEER COMPARISON</t>
        </is>
      </c>
    </row>
    <row r="3">
      <c r="A3" s="15" t="inlineStr">
        <is>
          <t>Peer data: NSE/moneycontrol/tipranks (Jul-2026). Mcap Rs Cr, P/E TTM. EV/EBITDA &amp; operating metrics are market/analyst estimates (blue = input).</t>
        </is>
      </c>
    </row>
    <row r="4">
      <c r="A4" s="30" t="inlineStr">
        <is>
          <t>Company</t>
        </is>
      </c>
      <c r="B4" s="30" t="inlineStr">
        <is>
          <t>Mkt Cap (Cr)</t>
        </is>
      </c>
      <c r="C4" s="30" t="inlineStr">
        <is>
          <t>P/E (TTM)</t>
        </is>
      </c>
      <c r="D4" s="30" t="inlineStr">
        <is>
          <t>EV/EBITDA (FY27E)</t>
        </is>
      </c>
      <c r="E4" s="30" t="inlineStr">
        <is>
          <t>Rev gth</t>
        </is>
      </c>
      <c r="F4" s="30" t="inlineStr">
        <is>
          <t>EBITDA mgn</t>
        </is>
      </c>
      <c r="G4" s="30" t="inlineStr">
        <is>
          <t>ROCE</t>
        </is>
      </c>
      <c r="H4" s="30" t="inlineStr">
        <is>
          <t>Net Debt/EBITDA</t>
        </is>
      </c>
      <c r="I4" s="30" t="inlineStr">
        <is>
          <t>ARPOB (Rs 000)</t>
        </is>
      </c>
      <c r="J4" s="30" t="inlineStr">
        <is>
          <t>Occupancy</t>
        </is>
      </c>
    </row>
    <row r="5">
      <c r="A5" s="49" t="inlineStr">
        <is>
          <t>Max Healthcare</t>
        </is>
      </c>
      <c r="B5" s="50" t="n">
        <v>101503</v>
      </c>
      <c r="C5" s="51" t="n">
        <v>73.09999999999999</v>
      </c>
      <c r="D5" s="51" t="n">
        <v>41</v>
      </c>
      <c r="E5" s="52" t="n">
        <v>0.19</v>
      </c>
      <c r="F5" s="52" t="n">
        <v>0.268</v>
      </c>
      <c r="G5" s="52" t="n">
        <v>0.127</v>
      </c>
      <c r="H5" s="53" t="n">
        <v>0.9</v>
      </c>
      <c r="I5" s="51" t="n">
        <v>76</v>
      </c>
      <c r="J5" s="52" t="n">
        <v>0.747</v>
      </c>
    </row>
    <row r="6">
      <c r="A6" s="54" t="inlineStr">
        <is>
          <t>Apollo Hospitals</t>
        </is>
      </c>
      <c r="B6" s="55" t="n">
        <v>112195</v>
      </c>
      <c r="C6" s="56" t="n">
        <v>68</v>
      </c>
      <c r="D6" s="56" t="n">
        <v>28</v>
      </c>
      <c r="E6" s="57" t="n">
        <v>0.16</v>
      </c>
      <c r="F6" s="57" t="n">
        <v>0.15</v>
      </c>
      <c r="G6" s="57" t="n">
        <v>0.16</v>
      </c>
      <c r="H6" s="58" t="n">
        <v>1</v>
      </c>
      <c r="I6" s="56" t="n">
        <v>60</v>
      </c>
      <c r="J6" s="57" t="n">
        <v>0.66</v>
      </c>
    </row>
    <row r="7">
      <c r="A7" s="54" t="inlineStr">
        <is>
          <t>Fortis Healthcare</t>
        </is>
      </c>
      <c r="B7" s="55" t="n">
        <v>66572</v>
      </c>
      <c r="C7" s="56" t="n">
        <v>68.40000000000001</v>
      </c>
      <c r="D7" s="56" t="n">
        <v>26</v>
      </c>
      <c r="E7" s="57" t="n">
        <v>0.13</v>
      </c>
      <c r="F7" s="57" t="n">
        <v>0.19</v>
      </c>
      <c r="G7" s="57" t="n">
        <v>0.12</v>
      </c>
      <c r="H7" s="58" t="n">
        <v>0.3</v>
      </c>
      <c r="I7" s="56" t="n">
        <v>66</v>
      </c>
      <c r="J7" s="57" t="n">
        <v>0.68</v>
      </c>
    </row>
    <row r="8">
      <c r="A8" s="54" t="inlineStr">
        <is>
          <t>Global Health (Medanta)</t>
        </is>
      </c>
      <c r="B8" s="55" t="n">
        <v>29707</v>
      </c>
      <c r="C8" s="56" t="n">
        <v>66.59999999999999</v>
      </c>
      <c r="D8" s="56" t="n">
        <v>25</v>
      </c>
      <c r="E8" s="57" t="n">
        <v>0.16</v>
      </c>
      <c r="F8" s="57" t="n">
        <v>0.24</v>
      </c>
      <c r="G8" s="57" t="n">
        <v>0.18</v>
      </c>
      <c r="H8" s="58" t="n">
        <v>-0.2</v>
      </c>
      <c r="I8" s="56" t="n">
        <v>66</v>
      </c>
      <c r="J8" s="57" t="n">
        <v>0.62</v>
      </c>
    </row>
    <row r="9">
      <c r="A9" s="54" t="inlineStr">
        <is>
          <t>Narayana Hrudayalaya</t>
        </is>
      </c>
      <c r="B9" s="55" t="n">
        <v>35773</v>
      </c>
      <c r="C9" s="56" t="n">
        <v>50</v>
      </c>
      <c r="D9" s="56" t="n">
        <v>20</v>
      </c>
      <c r="E9" s="57" t="n">
        <v>0.12</v>
      </c>
      <c r="F9" s="57" t="n">
        <v>0.22</v>
      </c>
      <c r="G9" s="57" t="n">
        <v>0.2</v>
      </c>
      <c r="H9" s="58" t="n">
        <v>0.1</v>
      </c>
      <c r="I9" s="56" t="n">
        <v>42</v>
      </c>
      <c r="J9" s="57" t="n">
        <v>0.58</v>
      </c>
    </row>
    <row r="10">
      <c r="A10" s="54" t="inlineStr">
        <is>
          <t>Aster DM Healthcare</t>
        </is>
      </c>
      <c r="B10" s="55" t="n">
        <v>34481</v>
      </c>
      <c r="C10" s="56" t="n">
        <v>60</v>
      </c>
      <c r="D10" s="56" t="n">
        <v>18</v>
      </c>
      <c r="E10" s="57" t="n">
        <v>0.14</v>
      </c>
      <c r="F10" s="57" t="n">
        <v>0.17</v>
      </c>
      <c r="G10" s="57" t="n">
        <v>0.13</v>
      </c>
      <c r="H10" s="58" t="n">
        <v>0.6</v>
      </c>
      <c r="I10" s="56" t="n">
        <v>40</v>
      </c>
      <c r="J10" s="57" t="n">
        <v>0.65</v>
      </c>
    </row>
    <row r="12">
      <c r="A12" s="4" t="inlineStr">
        <is>
          <t>Max Healthcare implied valuation (on FY27E)</t>
        </is>
      </c>
    </row>
    <row r="13">
      <c r="A13" s="5" t="inlineStr">
        <is>
          <t>FY27E PBIDT (Rs Cr)</t>
        </is>
      </c>
      <c r="C13" s="12">
        <f>'Integrated IS'!I15</f>
        <v/>
      </c>
    </row>
    <row r="14">
      <c r="A14" s="5" t="inlineStr">
        <is>
          <t>FY27E EPS (Rs)</t>
        </is>
      </c>
      <c r="C14" s="7">
        <f>'Integrated IS'!I27</f>
        <v/>
      </c>
    </row>
    <row r="15">
      <c r="A15" s="5" t="inlineStr">
        <is>
          <t>Target EV/EBITDA (x)</t>
        </is>
      </c>
      <c r="C15" s="7">
        <f>'Assumptions'!I46</f>
        <v/>
      </c>
    </row>
    <row r="16">
      <c r="A16" s="5" t="inlineStr">
        <is>
          <t>Implied EV (Rs Cr)</t>
        </is>
      </c>
      <c r="C16" s="21">
        <f>C13*C15</f>
        <v/>
      </c>
    </row>
    <row r="17">
      <c r="A17" s="5" t="inlineStr">
        <is>
          <t xml:space="preserve">  Target price - EV/EBITDA (Rs)</t>
        </is>
      </c>
      <c r="C17" s="7">
        <f>(C16-'Assumptions'!I45)/'Assumptions'!I44</f>
        <v/>
      </c>
    </row>
    <row r="18">
      <c r="A18" s="5" t="inlineStr">
        <is>
          <t>Target P/E (x)</t>
        </is>
      </c>
      <c r="C18" s="7">
        <f>'Assumptions'!I47</f>
        <v/>
      </c>
    </row>
    <row r="19">
      <c r="A19" s="5" t="inlineStr">
        <is>
          <t xml:space="preserve">  Target price - P/E (Rs)</t>
        </is>
      </c>
      <c r="C19" s="26">
        <f>C18*C14</f>
        <v/>
      </c>
    </row>
    <row r="20">
      <c r="A20" s="5" t="inlineStr">
        <is>
          <t>Current market price (Rs)</t>
        </is>
      </c>
      <c r="C20" s="7">
        <f>'Assumptions'!I43</f>
        <v/>
      </c>
    </row>
    <row r="22">
      <c r="A22" s="10" t="inlineStr">
        <is>
          <t>Premium justification: Max commands highest ARPOB (Rs76k vs peers Rs40-66k), industry-leading occupancy (~75%) and EBITDA/bed, premium Delhi-NCR/metro mix, strong ROCE and near-zero net leverage. Offsetting: valuation already rich (41x FY27E EV/EBITDA vs peers 18-28x).</t>
        </is>
      </c>
    </row>
  </sheetData>
  <mergeCells count="1">
    <mergeCell ref="A1:O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.5" customWidth="1" min="2" max="2"/>
    <col width="15" customWidth="1" min="3" max="3"/>
    <col width="1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26b.  SOTP &amp; STREET VALUATION  (12-month forward basis, FY28E)</t>
        </is>
      </c>
    </row>
    <row r="3">
      <c r="A3" s="15" t="inlineStr">
        <is>
          <t>Sum-of-the-parts on 12-month-forward (FY28E) segment economics, mirroring sell-side methodology (e.g. Motilal Oswal: ~35x hospitals, 30x Max Lab, EV/sales for Max@Home). Multiples are blue inputs.</t>
        </is>
      </c>
    </row>
    <row r="5">
      <c r="A5" s="4" t="inlineStr">
        <is>
          <t>Inputs (FY28E, Rs Cr)</t>
        </is>
      </c>
    </row>
    <row r="6">
      <c r="A6" s="5" t="inlineStr">
        <is>
          <t>Total EBITDA (FY28E)</t>
        </is>
      </c>
      <c r="C6" s="12">
        <f>'Integrated IS'!J13</f>
        <v/>
      </c>
    </row>
    <row r="7">
      <c r="A7" s="5" t="inlineStr">
        <is>
          <t>Max Lab revenue (FY28E)</t>
        </is>
      </c>
      <c r="C7" s="12">
        <f>'Revenue Build'!J9</f>
        <v/>
      </c>
    </row>
    <row r="8">
      <c r="A8" s="5" t="inlineStr">
        <is>
          <t>Max Lab EBITDA margin (input)</t>
        </is>
      </c>
      <c r="C8" s="32" t="n">
        <v>0.18</v>
      </c>
    </row>
    <row r="9">
      <c r="A9" s="5" t="inlineStr">
        <is>
          <t>Max Lab EBITDA</t>
        </is>
      </c>
      <c r="C9" s="21">
        <f>C7*C8</f>
        <v/>
      </c>
    </row>
    <row r="10">
      <c r="A10" s="5" t="inlineStr">
        <is>
          <t>Max@Home revenue (FY28E)</t>
        </is>
      </c>
      <c r="C10" s="12">
        <f>'Revenue Build'!J10</f>
        <v/>
      </c>
    </row>
    <row r="11">
      <c r="A11" s="5" t="inlineStr">
        <is>
          <t>Hospital &amp; other EBITDA (bal.)</t>
        </is>
      </c>
      <c r="C11" s="21">
        <f>C6-C9</f>
        <v/>
      </c>
    </row>
    <row r="12">
      <c r="A12" s="4" t="inlineStr">
        <is>
          <t>Multiples (blue = input)</t>
        </is>
      </c>
    </row>
    <row r="13">
      <c r="A13" s="5" t="inlineStr">
        <is>
          <t>Hospital EV/EBITDA (x)</t>
        </is>
      </c>
      <c r="C13" s="38" t="n">
        <v>34</v>
      </c>
    </row>
    <row r="14">
      <c r="A14" s="5" t="inlineStr">
        <is>
          <t>Max Lab EV/EBITDA (x)</t>
        </is>
      </c>
      <c r="C14" s="38" t="n">
        <v>30</v>
      </c>
    </row>
    <row r="15">
      <c r="A15" s="5" t="inlineStr">
        <is>
          <t>Max@Home EV/Sales (x)</t>
        </is>
      </c>
      <c r="C15" s="38" t="n">
        <v>9</v>
      </c>
    </row>
    <row r="16">
      <c r="A16" s="4" t="inlineStr">
        <is>
          <t>Enterprise &amp; equity value (Rs Cr)</t>
        </is>
      </c>
    </row>
    <row r="17">
      <c r="A17" s="5" t="inlineStr">
        <is>
          <t>Hospital EV</t>
        </is>
      </c>
      <c r="C17" s="21">
        <f>C11*C13</f>
        <v/>
      </c>
    </row>
    <row r="18">
      <c r="A18" s="5" t="inlineStr">
        <is>
          <t>Max Lab EV</t>
        </is>
      </c>
      <c r="C18" s="21">
        <f>C9*C14</f>
        <v/>
      </c>
    </row>
    <row r="19">
      <c r="A19" s="5" t="inlineStr">
        <is>
          <t>Max@Home EV</t>
        </is>
      </c>
      <c r="C19" s="21">
        <f>C10*C15</f>
        <v/>
      </c>
    </row>
    <row r="20">
      <c r="A20" s="5" t="inlineStr">
        <is>
          <t>Total Enterprise Value</t>
        </is>
      </c>
      <c r="C20" s="21">
        <f>C17+C18+C19</f>
        <v/>
      </c>
    </row>
    <row r="21">
      <c r="A21" s="5" t="inlineStr">
        <is>
          <t>Less: Net debt (fwd, FY27E)</t>
        </is>
      </c>
      <c r="C21" s="12">
        <f>'Debt Schedule'!I6-'Integrated BS'!I25</f>
        <v/>
      </c>
    </row>
    <row r="22">
      <c r="A22" s="5" t="inlineStr">
        <is>
          <t>Equity value</t>
        </is>
      </c>
      <c r="C22" s="21">
        <f>C20-C21</f>
        <v/>
      </c>
    </row>
    <row r="23">
      <c r="A23" s="5" t="inlineStr">
        <is>
          <t>SoTP target price / share (Rs)</t>
        </is>
      </c>
      <c r="C23" s="7">
        <f>C22/'Assumptions'!I44</f>
        <v/>
      </c>
    </row>
    <row r="24">
      <c r="A24" s="5" t="inlineStr">
        <is>
          <t>Current market price (Rs)</t>
        </is>
      </c>
      <c r="C24" s="7">
        <f>'Assumptions'!I43</f>
        <v/>
      </c>
    </row>
    <row r="25">
      <c r="A25" s="5" t="inlineStr">
        <is>
          <t>Upside / (downside)</t>
        </is>
      </c>
      <c r="C25" s="24">
        <f>C23/C24-1</f>
        <v/>
      </c>
    </row>
    <row r="26">
      <c r="A26" s="4" t="inlineStr">
        <is>
          <t>Valuation summary - methods (Rs/share)</t>
        </is>
      </c>
    </row>
    <row r="27">
      <c r="A27" s="5" t="inlineStr">
        <is>
          <t xml:space="preserve">   SoTP (12M forward, FY28E)</t>
        </is>
      </c>
      <c r="C27" s="26">
        <f>C23</f>
        <v/>
      </c>
    </row>
    <row r="28">
      <c r="A28" s="5" t="inlineStr">
        <is>
          <t xml:space="preserve">   Relative EV/EBITDA (FY27E)</t>
        </is>
      </c>
      <c r="C28" s="7">
        <f>'Relative Valuation'!C17</f>
        <v/>
      </c>
    </row>
    <row r="29">
      <c r="A29" s="5" t="inlineStr">
        <is>
          <t xml:space="preserve">   Relative P/E (FY27E)</t>
        </is>
      </c>
      <c r="C29" s="7">
        <f>'Relative Valuation'!C19</f>
        <v/>
      </c>
    </row>
    <row r="30">
      <c r="A30" s="5" t="inlineStr">
        <is>
          <t xml:space="preserve">   DCF - exit multiple (22x)</t>
        </is>
      </c>
      <c r="C30" s="7">
        <f>'DCF'!C38</f>
        <v/>
      </c>
    </row>
    <row r="31">
      <c r="A31" s="5" t="inlineStr">
        <is>
          <t xml:space="preserve">   DCF - Gordon (downside anchor)</t>
        </is>
      </c>
      <c r="C31" s="7">
        <f>'DCF'!C33</f>
        <v/>
      </c>
    </row>
    <row r="32">
      <c r="A32" s="4" t="inlineStr">
        <is>
          <t>Blended target (SoTP + Exit-multiple DCF)</t>
        </is>
      </c>
      <c r="C32" s="8">
        <f>AVERAGE(C23,'DCF'!C38)</f>
        <v/>
      </c>
      <c r="D32" s="59">
        <f>C32/'Assumptions'!I43-1</f>
        <v/>
      </c>
    </row>
    <row r="33">
      <c r="A33" s="4" t="inlineStr">
        <is>
          <t>Recent broker views (external, Feb-Jul 2026)</t>
        </is>
      </c>
    </row>
    <row r="34">
      <c r="A34" t="inlineStr">
        <is>
          <t>Broker</t>
        </is>
      </c>
      <c r="B34" t="inlineStr">
        <is>
          <t>Rating</t>
        </is>
      </c>
      <c r="C34" t="inlineStr">
        <is>
          <t>Target (Rs)</t>
        </is>
      </c>
      <c r="D34" t="inlineStr">
        <is>
          <t>Date</t>
        </is>
      </c>
    </row>
    <row r="35">
      <c r="A35" s="60" t="inlineStr">
        <is>
          <t>Broker</t>
        </is>
      </c>
      <c r="B35" s="60" t="inlineStr">
        <is>
          <t>Rating</t>
        </is>
      </c>
      <c r="C35" s="60" t="inlineStr">
        <is>
          <t>Target (Rs)</t>
        </is>
      </c>
      <c r="D35" s="60" t="inlineStr">
        <is>
          <t>Date/Note</t>
        </is>
      </c>
    </row>
    <row r="36">
      <c r="A36" s="61" t="inlineStr">
        <is>
          <t>Motilal Oswal</t>
        </is>
      </c>
      <c r="B36" s="61" t="inlineStr">
        <is>
          <t>BUY</t>
        </is>
      </c>
      <c r="C36" s="61" t="inlineStr">
        <is>
          <t>1,270-1,360</t>
        </is>
      </c>
      <c r="D36" s="61" t="inlineStr">
        <is>
          <t>Feb/Nov-2026; SoTP 35x fwd hosp</t>
        </is>
      </c>
    </row>
    <row r="37">
      <c r="A37" s="61" t="inlineStr">
        <is>
          <t>Anand Rathi</t>
        </is>
      </c>
      <c r="B37" s="61" t="inlineStr">
        <is>
          <t>BUY</t>
        </is>
      </c>
      <c r="C37" s="61" t="inlineStr">
        <is>
          <t>1,300</t>
        </is>
      </c>
      <c r="D37" s="61" t="inlineStr">
        <is>
          <t>Feb-2026</t>
        </is>
      </c>
    </row>
    <row r="38">
      <c r="A38" s="61" t="inlineStr">
        <is>
          <t>Nuvama</t>
        </is>
      </c>
      <c r="B38" s="61" t="inlineStr">
        <is>
          <t>BUY</t>
        </is>
      </c>
      <c r="C38" s="61" t="inlineStr">
        <is>
          <t>1,023</t>
        </is>
      </c>
      <c r="D38" s="61" t="inlineStr">
        <is>
          <t>post-Q4</t>
        </is>
      </c>
    </row>
    <row r="39">
      <c r="A39" s="61" t="inlineStr">
        <is>
          <t>Jefferies</t>
        </is>
      </c>
      <c r="B39" s="61" t="inlineStr">
        <is>
          <t>BUY</t>
        </is>
      </c>
      <c r="C39" s="61" t="inlineStr">
        <is>
          <t>~25% upside</t>
        </is>
      </c>
      <c r="D39" s="61" t="inlineStr">
        <is>
          <t>2026</t>
        </is>
      </c>
    </row>
    <row r="40">
      <c r="A40" s="61" t="inlineStr">
        <is>
          <t>Consensus (26 analysts, S&amp;P)</t>
        </is>
      </c>
      <c r="B40" s="61" t="inlineStr">
        <is>
          <t>BUY</t>
        </is>
      </c>
      <c r="C40" s="61" t="inlineStr">
        <is>
          <t>1,148 (avg); range 615-1,400</t>
        </is>
      </c>
      <c r="D40" s="61" t="inlineStr">
        <is>
          <t>Jul-2026</t>
        </is>
      </c>
    </row>
    <row r="42">
      <c r="A42" s="28" t="inlineStr">
        <is>
          <t>Source: moneycontrol, ET Now, Business Today, stockanalysis.com (S&amp;P Global consensus), TradingView (Jul-2026). Content rephrased for licensing compliance.</t>
        </is>
      </c>
    </row>
  </sheetData>
  <mergeCells count="1">
    <mergeCell ref="A1:O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27.  SENSITIVITY - DCF Target Price (Gordon): WACC x Terminal Growth</t>
        </is>
      </c>
    </row>
    <row r="3">
      <c r="A3" s="15" t="inlineStr">
        <is>
          <t>Target price (Rs/share) = (NPV(WACC, FCFF FY27-33) + PV of Gordon terminal value - net debt) / shares</t>
        </is>
      </c>
    </row>
    <row r="5">
      <c r="B5" s="4" t="inlineStr">
        <is>
          <t>Terminal growth -&gt;</t>
        </is>
      </c>
    </row>
    <row r="6">
      <c r="A6" s="62" t="inlineStr">
        <is>
          <t>WACC v</t>
        </is>
      </c>
      <c r="C6" s="63" t="n">
        <v>0.045</v>
      </c>
      <c r="D6" s="63" t="n">
        <v>0.05</v>
      </c>
      <c r="E6" s="63" t="n">
        <v>0.055</v>
      </c>
      <c r="F6" s="63" t="n">
        <v>0.06</v>
      </c>
      <c r="G6" s="63" t="n">
        <v>0.065</v>
      </c>
    </row>
    <row r="7">
      <c r="B7" s="64" t="n">
        <v>0.105</v>
      </c>
      <c r="C7" s="65">
        <f>(NPV(0.105,'DCF'!$I$22:$O$22)+('DCF'!$O$22*(1+0.045)/(0.105-0.045))/(1+0.105)^7-'Assumptions'!I45)/'Assumptions'!I44</f>
        <v/>
      </c>
      <c r="D7" s="65">
        <f>(NPV(0.105,'DCF'!$I$22:$O$22)+('DCF'!$O$22*(1+0.05)/(0.105-0.05))/(1+0.105)^7-'Assumptions'!I45)/'Assumptions'!I44</f>
        <v/>
      </c>
      <c r="E7" s="65">
        <f>(NPV(0.105,'DCF'!$I$22:$O$22)+('DCF'!$O$22*(1+0.055)/(0.105-0.055))/(1+0.105)^7-'Assumptions'!I45)/'Assumptions'!I44</f>
        <v/>
      </c>
      <c r="F7" s="65">
        <f>(NPV(0.105,'DCF'!$I$22:$O$22)+('DCF'!$O$22*(1+0.06)/(0.105-0.06))/(1+0.105)^7-'Assumptions'!I45)/'Assumptions'!I44</f>
        <v/>
      </c>
      <c r="G7" s="65">
        <f>(NPV(0.105,'DCF'!$I$22:$O$22)+('DCF'!$O$22*(1+0.065)/(0.105-0.065))/(1+0.105)^7-'Assumptions'!I45)/'Assumptions'!I44</f>
        <v/>
      </c>
    </row>
    <row r="8">
      <c r="B8" s="64" t="n">
        <v>0.11</v>
      </c>
      <c r="C8" s="65">
        <f>(NPV(0.11,'DCF'!$I$22:$O$22)+('DCF'!$O$22*(1+0.045)/(0.11-0.045))/(1+0.11)^7-'Assumptions'!I45)/'Assumptions'!I44</f>
        <v/>
      </c>
      <c r="D8" s="65">
        <f>(NPV(0.11,'DCF'!$I$22:$O$22)+('DCF'!$O$22*(1+0.05)/(0.11-0.05))/(1+0.11)^7-'Assumptions'!I45)/'Assumptions'!I44</f>
        <v/>
      </c>
      <c r="E8" s="65">
        <f>(NPV(0.11,'DCF'!$I$22:$O$22)+('DCF'!$O$22*(1+0.055)/(0.11-0.055))/(1+0.11)^7-'Assumptions'!I45)/'Assumptions'!I44</f>
        <v/>
      </c>
      <c r="F8" s="65">
        <f>(NPV(0.11,'DCF'!$I$22:$O$22)+('DCF'!$O$22*(1+0.06)/(0.11-0.06))/(1+0.11)^7-'Assumptions'!I45)/'Assumptions'!I44</f>
        <v/>
      </c>
      <c r="G8" s="65">
        <f>(NPV(0.11,'DCF'!$I$22:$O$22)+('DCF'!$O$22*(1+0.065)/(0.11-0.065))/(1+0.11)^7-'Assumptions'!I45)/'Assumptions'!I44</f>
        <v/>
      </c>
    </row>
    <row r="9">
      <c r="B9" s="64" t="n">
        <v>0.115</v>
      </c>
      <c r="C9" s="65">
        <f>(NPV(0.115,'DCF'!$I$22:$O$22)+('DCF'!$O$22*(1+0.045)/(0.115-0.045))/(1+0.115)^7-'Assumptions'!I45)/'Assumptions'!I44</f>
        <v/>
      </c>
      <c r="D9" s="65">
        <f>(NPV(0.115,'DCF'!$I$22:$O$22)+('DCF'!$O$22*(1+0.05)/(0.115-0.05))/(1+0.115)^7-'Assumptions'!I45)/'Assumptions'!I44</f>
        <v/>
      </c>
      <c r="E9" s="65">
        <f>(NPV(0.115,'DCF'!$I$22:$O$22)+('DCF'!$O$22*(1+0.055)/(0.115-0.055))/(1+0.115)^7-'Assumptions'!I45)/'Assumptions'!I44</f>
        <v/>
      </c>
      <c r="F9" s="65">
        <f>(NPV(0.115,'DCF'!$I$22:$O$22)+('DCF'!$O$22*(1+0.06)/(0.115-0.06))/(1+0.115)^7-'Assumptions'!I45)/'Assumptions'!I44</f>
        <v/>
      </c>
      <c r="G9" s="65">
        <f>(NPV(0.115,'DCF'!$I$22:$O$22)+('DCF'!$O$22*(1+0.065)/(0.115-0.065))/(1+0.115)^7-'Assumptions'!I45)/'Assumptions'!I44</f>
        <v/>
      </c>
    </row>
    <row r="10">
      <c r="B10" s="64" t="n">
        <v>0.12</v>
      </c>
      <c r="C10" s="65">
        <f>(NPV(0.12,'DCF'!$I$22:$O$22)+('DCF'!$O$22*(1+0.045)/(0.12-0.045))/(1+0.12)^7-'Assumptions'!I45)/'Assumptions'!I44</f>
        <v/>
      </c>
      <c r="D10" s="65">
        <f>(NPV(0.12,'DCF'!$I$22:$O$22)+('DCF'!$O$22*(1+0.05)/(0.12-0.05))/(1+0.12)^7-'Assumptions'!I45)/'Assumptions'!I44</f>
        <v/>
      </c>
      <c r="E10" s="65">
        <f>(NPV(0.12,'DCF'!$I$22:$O$22)+('DCF'!$O$22*(1+0.055)/(0.12-0.055))/(1+0.12)^7-'Assumptions'!I45)/'Assumptions'!I44</f>
        <v/>
      </c>
      <c r="F10" s="65">
        <f>(NPV(0.12,'DCF'!$I$22:$O$22)+('DCF'!$O$22*(1+0.06)/(0.12-0.06))/(1+0.12)^7-'Assumptions'!I45)/'Assumptions'!I44</f>
        <v/>
      </c>
      <c r="G10" s="65">
        <f>(NPV(0.12,'DCF'!$I$22:$O$22)+('DCF'!$O$22*(1+0.065)/(0.12-0.065))/(1+0.12)^7-'Assumptions'!I45)/'Assumptions'!I44</f>
        <v/>
      </c>
    </row>
    <row r="11">
      <c r="B11" s="64" t="n">
        <v>0.125</v>
      </c>
      <c r="C11" s="65">
        <f>(NPV(0.125,'DCF'!$I$22:$O$22)+('DCF'!$O$22*(1+0.045)/(0.125-0.045))/(1+0.125)^7-'Assumptions'!I45)/'Assumptions'!I44</f>
        <v/>
      </c>
      <c r="D11" s="65">
        <f>(NPV(0.125,'DCF'!$I$22:$O$22)+('DCF'!$O$22*(1+0.05)/(0.125-0.05))/(1+0.125)^7-'Assumptions'!I45)/'Assumptions'!I44</f>
        <v/>
      </c>
      <c r="E11" s="65">
        <f>(NPV(0.125,'DCF'!$I$22:$O$22)+('DCF'!$O$22*(1+0.055)/(0.125-0.055))/(1+0.125)^7-'Assumptions'!I45)/'Assumptions'!I44</f>
        <v/>
      </c>
      <c r="F11" s="65">
        <f>(NPV(0.125,'DCF'!$I$22:$O$22)+('DCF'!$O$22*(1+0.06)/(0.125-0.06))/(1+0.125)^7-'Assumptions'!I45)/'Assumptions'!I44</f>
        <v/>
      </c>
      <c r="G11" s="65">
        <f>(NPV(0.125,'DCF'!$I$22:$O$22)+('DCF'!$O$22*(1+0.065)/(0.125-0.065))/(1+0.125)^7-'Assumptions'!I45)/'Assumptions'!I44</f>
        <v/>
      </c>
    </row>
    <row r="12">
      <c r="B12" s="64" t="n">
        <v>0.13</v>
      </c>
      <c r="C12" s="65">
        <f>(NPV(0.13,'DCF'!$I$22:$O$22)+('DCF'!$O$22*(1+0.045)/(0.13-0.045))/(1+0.13)^7-'Assumptions'!I45)/'Assumptions'!I44</f>
        <v/>
      </c>
      <c r="D12" s="65">
        <f>(NPV(0.13,'DCF'!$I$22:$O$22)+('DCF'!$O$22*(1+0.05)/(0.13-0.05))/(1+0.13)^7-'Assumptions'!I45)/'Assumptions'!I44</f>
        <v/>
      </c>
      <c r="E12" s="65">
        <f>(NPV(0.13,'DCF'!$I$22:$O$22)+('DCF'!$O$22*(1+0.055)/(0.13-0.055))/(1+0.13)^7-'Assumptions'!I45)/'Assumptions'!I44</f>
        <v/>
      </c>
      <c r="F12" s="65">
        <f>(NPV(0.13,'DCF'!$I$22:$O$22)+('DCF'!$O$22*(1+0.06)/(0.13-0.06))/(1+0.13)^7-'Assumptions'!I45)/'Assumptions'!I44</f>
        <v/>
      </c>
      <c r="G12" s="65">
        <f>(NPV(0.13,'DCF'!$I$22:$O$22)+('DCF'!$O$22*(1+0.065)/(0.13-0.065))/(1+0.13)^7-'Assumptions'!I45)/'Assumptions'!I44</f>
        <v/>
      </c>
    </row>
    <row r="14">
      <c r="A14" s="10" t="inlineStr">
        <is>
          <t>Base case: WACC 12.0%, terminal growth 5.5%. Note: pure-Gordon DCF is conservative; exit-multiple DCF (22x) and relative valuation give higher fair values (see DCF &amp; Relative Valuation sheets).</t>
        </is>
      </c>
    </row>
  </sheetData>
  <mergeCells count="1">
    <mergeCell ref="A1:O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6" customWidth="1" min="4" max="4"/>
    <col width="16" customWidth="1" min="5" max="5"/>
    <col width="10" customWidth="1" min="6" max="6"/>
    <col width="12" customWidth="1" min="7" max="7"/>
    <col width="40" customWidth="1" min="8" max="8"/>
  </cols>
  <sheetData>
    <row r="1">
      <c r="A1" s="29" t="inlineStr">
        <is>
          <t>28.  SOURCE &amp; ASSUMPTION LOG</t>
        </is>
      </c>
    </row>
    <row r="3">
      <c r="A3" s="66" t="inlineStr">
        <is>
          <t>Assumption / Data</t>
        </is>
      </c>
      <c r="B3" s="66" t="inlineStr">
        <is>
          <t>Value</t>
        </is>
      </c>
      <c r="C3" s="66" t="inlineStr">
        <is>
          <t>Source Type</t>
        </is>
      </c>
      <c r="D3" s="66" t="inlineStr">
        <is>
          <t>Source</t>
        </is>
      </c>
      <c r="E3" s="66" t="inlineStr">
        <is>
          <t>Report/Ref</t>
        </is>
      </c>
      <c r="F3" s="66" t="inlineStr">
        <is>
          <t>Pg/Note</t>
        </is>
      </c>
      <c r="G3" s="66" t="inlineStr">
        <is>
          <t>Date</t>
        </is>
      </c>
      <c r="H3" s="66" t="inlineStr">
        <is>
          <t>Justification</t>
        </is>
      </c>
    </row>
    <row r="4" ht="30" customHeight="1">
      <c r="A4" s="31" t="inlineStr">
        <is>
          <t>FY26 Revenue Rs8,373 Cr</t>
        </is>
      </c>
      <c r="B4" s="31" t="inlineStr">
        <is>
          <t>8,373</t>
        </is>
      </c>
      <c r="C4" s="31" t="inlineStr">
        <is>
          <t>Annual Report</t>
        </is>
      </c>
      <c r="D4" s="31" t="inlineStr">
        <is>
          <t>MHIL AR FY26 - Note 27</t>
        </is>
      </c>
      <c r="E4" s="31" t="inlineStr">
        <is>
          <t>FY26 AR</t>
        </is>
      </c>
      <c r="F4" s="31" t="inlineStr">
        <is>
          <t>p501</t>
        </is>
      </c>
      <c r="G4" s="31" t="inlineStr">
        <is>
          <t>May-2026</t>
        </is>
      </c>
      <c r="H4" s="31" t="inlineStr">
        <is>
          <t>Reported consolidated revenue from operations</t>
        </is>
      </c>
    </row>
    <row r="5" ht="30" customHeight="1">
      <c r="A5" s="31" t="inlineStr">
        <is>
          <t>FY26 PBIDT margin 28.2%</t>
        </is>
      </c>
      <c r="B5" s="31" t="inlineStr">
        <is>
          <t>28.2%</t>
        </is>
      </c>
      <c r="C5" s="31" t="inlineStr">
        <is>
          <t>Annual Report</t>
        </is>
      </c>
      <c r="D5" s="31" t="inlineStr">
        <is>
          <t>MHIL AR FY26 MD&amp;A</t>
        </is>
      </c>
      <c r="E5" s="31" t="inlineStr">
        <is>
          <t>FY26 AR</t>
        </is>
      </c>
      <c r="F5" s="31" t="inlineStr">
        <is>
          <t>p220</t>
        </is>
      </c>
      <c r="G5" s="31" t="inlineStr">
        <is>
          <t>May-2026</t>
        </is>
      </c>
      <c r="H5" s="31" t="inlineStr">
        <is>
          <t>Management-reported PBIDT margin on total income</t>
        </is>
      </c>
    </row>
    <row r="6" ht="30" customHeight="1">
      <c r="A6" s="31" t="inlineStr">
        <is>
          <t>ARPOB Rs76k / 77.9k (Q4)</t>
        </is>
      </c>
      <c r="B6" s="31" t="inlineStr">
        <is>
          <t>76-78</t>
        </is>
      </c>
      <c r="C6" s="31" t="inlineStr">
        <is>
          <t>Annual Report/Concall</t>
        </is>
      </c>
      <c r="D6" s="31" t="inlineStr">
        <is>
          <t>AR FY26 MD&amp;A; Q4FY26 call</t>
        </is>
      </c>
      <c r="E6" s="31" t="inlineStr">
        <is>
          <t>FY26</t>
        </is>
      </c>
      <c r="F6" s="31" t="inlineStr">
        <is>
          <t>p223</t>
        </is>
      </c>
      <c r="G6" s="31" t="inlineStr">
        <is>
          <t>May-2026</t>
        </is>
      </c>
      <c r="H6" s="31" t="inlineStr">
        <is>
          <t>Basis for ARPOB growth assumption</t>
        </is>
      </c>
    </row>
    <row r="7" ht="30" customHeight="1">
      <c r="A7" s="31" t="inlineStr">
        <is>
          <t>Operational beds 3,841</t>
        </is>
      </c>
      <c r="B7" s="31" t="inlineStr">
        <is>
          <t>3,841</t>
        </is>
      </c>
      <c r="C7" s="31" t="inlineStr">
        <is>
          <t>Annual Report</t>
        </is>
      </c>
      <c r="D7" s="31" t="inlineStr">
        <is>
          <t>AR FY26 operational metrics</t>
        </is>
      </c>
      <c r="E7" s="31" t="inlineStr">
        <is>
          <t>FY26 AR</t>
        </is>
      </c>
      <c r="F7" s="31" t="inlineStr">
        <is>
          <t>p223</t>
        </is>
      </c>
      <c r="G7" s="31" t="inlineStr">
        <is>
          <t>May-2026</t>
        </is>
      </c>
      <c r="H7" s="31" t="inlineStr">
        <is>
          <t>Base for bed capacity schedule</t>
        </is>
      </c>
    </row>
    <row r="8" ht="30" customHeight="1">
      <c r="A8" s="31" t="inlineStr">
        <is>
          <t>Occupancy ~74.7%</t>
        </is>
      </c>
      <c r="B8" s="31" t="inlineStr">
        <is>
          <t>74.7%</t>
        </is>
      </c>
      <c r="C8" s="31" t="inlineStr">
        <is>
          <t>Annual Report/CARE</t>
        </is>
      </c>
      <c r="D8" s="31" t="inlineStr">
        <is>
          <t>AR FY26; CARE report</t>
        </is>
      </c>
      <c r="E8" s="31" t="inlineStr">
        <is>
          <t>FY26</t>
        </is>
      </c>
      <c r="F8" s="31" t="inlineStr">
        <is>
          <t>p223</t>
        </is>
      </c>
      <c r="G8" s="31" t="inlineStr">
        <is>
          <t>Oct-2025</t>
        </is>
      </c>
      <c r="H8" s="31" t="inlineStr">
        <is>
          <t>Industry-leading occupancy</t>
        </is>
      </c>
    </row>
    <row r="9" ht="30" customHeight="1">
      <c r="A9" s="31" t="inlineStr">
        <is>
          <t>Bed pipeline (Gurgaon 500 etc.)</t>
        </is>
      </c>
      <c r="B9" s="31" t="inlineStr">
        <is>
          <t>see AR</t>
        </is>
      </c>
      <c r="C9" s="31" t="inlineStr">
        <is>
          <t>Concall/AR</t>
        </is>
      </c>
      <c r="D9" s="31" t="inlineStr">
        <is>
          <t>Q4FY26 concall; AR pipeline</t>
        </is>
      </c>
      <c r="E9" s="31" t="inlineStr">
        <is>
          <t>FY26</t>
        </is>
      </c>
      <c r="F9" s="31" t="inlineStr">
        <is>
          <t>-</t>
        </is>
      </c>
      <c r="G9" s="31" t="inlineStr">
        <is>
          <t>May-2026</t>
        </is>
      </c>
      <c r="H9" s="31" t="inlineStr">
        <is>
          <t>Bed-addition schedule driver</t>
        </is>
      </c>
    </row>
    <row r="10" ht="30" customHeight="1">
      <c r="A10" s="31" t="inlineStr">
        <is>
          <t>Growth capex FY27-30 Rs6,672 Cr</t>
        </is>
      </c>
      <c r="B10" s="31" t="inlineStr">
        <is>
          <t>6,672</t>
        </is>
      </c>
      <c r="C10" s="31" t="inlineStr">
        <is>
          <t>Annual Report</t>
        </is>
      </c>
      <c r="D10" s="31" t="inlineStr">
        <is>
          <t>AR FY26 pipeline table</t>
        </is>
      </c>
      <c r="E10" s="31" t="inlineStr">
        <is>
          <t>FY26</t>
        </is>
      </c>
      <c r="F10" s="31" t="inlineStr">
        <is>
          <t>-</t>
        </is>
      </c>
      <c r="G10" s="31" t="inlineStr">
        <is>
          <t>May-2026</t>
        </is>
      </c>
      <c r="H10" s="31" t="inlineStr">
        <is>
          <t>Capex schedule driver</t>
        </is>
      </c>
    </row>
    <row r="11" ht="30" customHeight="1">
      <c r="A11" s="31" t="inlineStr">
        <is>
          <t>Credit rating CARE AA+/Stable</t>
        </is>
      </c>
      <c r="B11" s="31" t="inlineStr">
        <is>
          <t>AA+</t>
        </is>
      </c>
      <c r="C11" s="31" t="inlineStr">
        <is>
          <t>Credit Rating</t>
        </is>
      </c>
      <c r="D11" s="31" t="inlineStr">
        <is>
          <t>CARE Ratings press release</t>
        </is>
      </c>
      <c r="E11" s="31" t="inlineStr">
        <is>
          <t>Rating 2025</t>
        </is>
      </c>
      <c r="F11" s="31" t="inlineStr">
        <is>
          <t>-</t>
        </is>
      </c>
      <c r="G11" s="31" t="inlineStr">
        <is>
          <t>Oct-2025</t>
        </is>
      </c>
      <c r="H11" s="31" t="inlineStr">
        <is>
          <t>Low cost of debt; net leverage &lt;1.5x guardrail</t>
        </is>
      </c>
    </row>
    <row r="12" ht="30" customHeight="1">
      <c r="A12" s="31" t="inlineStr">
        <is>
          <t>Net leverage guardrail &lt;1.5x</t>
        </is>
      </c>
      <c r="B12" s="31" t="inlineStr">
        <is>
          <t>1.43x</t>
        </is>
      </c>
      <c r="C12" s="31" t="inlineStr">
        <is>
          <t>Credit Rating</t>
        </is>
      </c>
      <c r="D12" s="31" t="inlineStr">
        <is>
          <t>CARE Ratings</t>
        </is>
      </c>
      <c r="E12" s="31" t="inlineStr">
        <is>
          <t>Rating 2025</t>
        </is>
      </c>
      <c r="F12" s="31" t="inlineStr">
        <is>
          <t>-</t>
        </is>
      </c>
      <c r="G12" s="31" t="inlineStr">
        <is>
          <t>Oct-2025</t>
        </is>
      </c>
      <c r="H12" s="31" t="inlineStr">
        <is>
          <t>Debt schedule sizing / covenant cross-check</t>
        </is>
      </c>
    </row>
    <row r="13" ht="30" customHeight="1">
      <c r="A13" s="31" t="inlineStr">
        <is>
          <t>Normalised tax rate 24%</t>
        </is>
      </c>
      <c r="B13" s="31" t="inlineStr">
        <is>
          <t>24%</t>
        </is>
      </c>
      <c r="C13" s="31" t="inlineStr">
        <is>
          <t>Annual Report</t>
        </is>
      </c>
      <c r="D13" s="31" t="inlineStr">
        <is>
          <t>AR FY24-FY26</t>
        </is>
      </c>
      <c r="E13" s="31" t="inlineStr">
        <is>
          <t>FY24-26</t>
        </is>
      </c>
      <c r="F13" s="31" t="inlineStr">
        <is>
          <t>Note 16</t>
        </is>
      </c>
      <c r="G13" s="31" t="inlineStr">
        <is>
          <t>-</t>
        </is>
      </c>
      <c r="H13" s="31" t="inlineStr">
        <is>
          <t>FY26 ETR distorted by one-time DTA gain Rs141 Cr</t>
        </is>
      </c>
    </row>
    <row r="14" ht="30" customHeight="1">
      <c r="A14" s="31" t="inlineStr">
        <is>
          <t>Max Lab Rs201 Cr (+15%)</t>
        </is>
      </c>
      <c r="B14" s="31" t="inlineStr">
        <is>
          <t>201</t>
        </is>
      </c>
      <c r="C14" s="31" t="inlineStr">
        <is>
          <t>Annual Report</t>
        </is>
      </c>
      <c r="D14" s="31" t="inlineStr">
        <is>
          <t>AR FY26 MD&amp;A</t>
        </is>
      </c>
      <c r="E14" s="31" t="inlineStr">
        <is>
          <t>FY26 AR</t>
        </is>
      </c>
      <c r="F14" s="31" t="inlineStr">
        <is>
          <t>p87</t>
        </is>
      </c>
      <c r="G14" s="31" t="inlineStr">
        <is>
          <t>May-2026</t>
        </is>
      </c>
      <c r="H14" s="31" t="inlineStr">
        <is>
          <t>Segment revenue growth</t>
        </is>
      </c>
    </row>
    <row r="15" ht="30" customHeight="1">
      <c r="A15" s="31" t="inlineStr">
        <is>
          <t>Max@Home Rs263 Cr (+24%)</t>
        </is>
      </c>
      <c r="B15" s="31" t="inlineStr">
        <is>
          <t>263</t>
        </is>
      </c>
      <c r="C15" s="31" t="inlineStr">
        <is>
          <t>Annual Report</t>
        </is>
      </c>
      <c r="D15" s="31" t="inlineStr">
        <is>
          <t>AR FY26 MD&amp;A</t>
        </is>
      </c>
      <c r="E15" s="31" t="inlineStr">
        <is>
          <t>FY26 AR</t>
        </is>
      </c>
      <c r="F15" s="31" t="inlineStr">
        <is>
          <t>p83</t>
        </is>
      </c>
      <c r="G15" s="31" t="inlineStr">
        <is>
          <t>May-2026</t>
        </is>
      </c>
      <c r="H15" s="31" t="inlineStr">
        <is>
          <t>Segment revenue growth</t>
        </is>
      </c>
    </row>
    <row r="16" ht="30" customHeight="1">
      <c r="A16" s="31" t="inlineStr">
        <is>
          <t>India 10Y G-sec 6.82%</t>
        </is>
      </c>
      <c r="B16" s="31" t="inlineStr">
        <is>
          <t>6.82%</t>
        </is>
      </c>
      <c r="C16" s="31" t="inlineStr">
        <is>
          <t>External</t>
        </is>
      </c>
      <c r="D16" s="31" t="inlineStr">
        <is>
          <t>tradingeconomics.com</t>
        </is>
      </c>
      <c r="E16" s="31" t="inlineStr">
        <is>
          <t>-</t>
        </is>
      </c>
      <c r="F16" s="31" t="inlineStr">
        <is>
          <t>-</t>
        </is>
      </c>
      <c r="G16" s="31" t="inlineStr">
        <is>
          <t>Jul-2026</t>
        </is>
      </c>
      <c r="H16" s="31" t="inlineStr">
        <is>
          <t>Risk-free rate for WACC</t>
        </is>
      </c>
    </row>
    <row r="17" ht="30" customHeight="1">
      <c r="A17" s="31" t="inlineStr">
        <is>
          <t>Equity risk premium 7.0%</t>
        </is>
      </c>
      <c r="B17" s="31" t="inlineStr">
        <is>
          <t>7.0%</t>
        </is>
      </c>
      <c r="C17" s="31" t="inlineStr">
        <is>
          <t>External</t>
        </is>
      </c>
      <c r="D17" s="31" t="inlineStr">
        <is>
          <t>Damodaran India ERP</t>
        </is>
      </c>
      <c r="E17" s="31" t="inlineStr">
        <is>
          <t>-</t>
        </is>
      </c>
      <c r="F17" s="31" t="inlineStr">
        <is>
          <t>-</t>
        </is>
      </c>
      <c r="G17" s="31" t="inlineStr">
        <is>
          <t>2026</t>
        </is>
      </c>
      <c r="H17" s="31" t="inlineStr">
        <is>
          <t>WACC input</t>
        </is>
      </c>
    </row>
    <row r="18" ht="30" customHeight="1">
      <c r="A18" s="31" t="inlineStr">
        <is>
          <t>CMP Rs1,080; Mcap Rs1.05L Cr</t>
        </is>
      </c>
      <c r="B18" s="31" t="inlineStr">
        <is>
          <t>1,080</t>
        </is>
      </c>
      <c r="C18" s="31" t="inlineStr">
        <is>
          <t>External (NSE)</t>
        </is>
      </c>
      <c r="D18" s="31" t="inlineStr">
        <is>
          <t>NSE / moneycontrol</t>
        </is>
      </c>
      <c r="E18" s="31" t="inlineStr">
        <is>
          <t>-</t>
        </is>
      </c>
      <c r="F18" s="31" t="inlineStr">
        <is>
          <t>-</t>
        </is>
      </c>
      <c r="G18" s="31" t="inlineStr">
        <is>
          <t>24-Jul-2026</t>
        </is>
      </c>
      <c r="H18" s="31" t="inlineStr">
        <is>
          <t>Valuation reference / relative comps</t>
        </is>
      </c>
    </row>
    <row r="19" ht="30" customHeight="1">
      <c r="A19" s="31" t="inlineStr">
        <is>
          <t>Peer multiples</t>
        </is>
      </c>
      <c r="B19" s="31" t="inlineStr">
        <is>
          <t>see sheet</t>
        </is>
      </c>
      <c r="C19" s="31" t="inlineStr">
        <is>
          <t>External</t>
        </is>
      </c>
      <c r="D19" s="31" t="inlineStr">
        <is>
          <t>moneycontrol/tipranks</t>
        </is>
      </c>
      <c r="E19" s="31" t="inlineStr">
        <is>
          <t>-</t>
        </is>
      </c>
      <c r="F19" s="31" t="inlineStr">
        <is>
          <t>-</t>
        </is>
      </c>
      <c r="G19" s="31" t="inlineStr">
        <is>
          <t>Jul-2026</t>
        </is>
      </c>
      <c r="H19" s="31" t="inlineStr">
        <is>
          <t>Relative valuation benchmarking</t>
        </is>
      </c>
    </row>
  </sheetData>
  <mergeCells count="1">
    <mergeCell ref="A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26" customWidth="1" min="4" max="4"/>
    <col width="26" customWidth="1" min="5" max="5"/>
    <col width="20" customWidth="1" min="6" max="6"/>
  </cols>
  <sheetData>
    <row r="1">
      <c r="A1" s="29" t="inlineStr">
        <is>
          <t>29.  MANAGEMENT GUIDANCE TRACKER</t>
        </is>
      </c>
    </row>
    <row r="3">
      <c r="A3" s="66" t="inlineStr">
        <is>
          <t>Date/Source</t>
        </is>
      </c>
      <c r="B3" s="66" t="inlineStr">
        <is>
          <t>Management statement</t>
        </is>
      </c>
      <c r="C3" s="66" t="inlineStr">
        <is>
          <t>KPI/Metric</t>
        </is>
      </c>
      <c r="D3" s="66" t="inlineStr">
        <is>
          <t>Expected outcome</t>
        </is>
      </c>
      <c r="E3" s="66" t="inlineStr">
        <is>
          <t>Actual outcome</t>
        </is>
      </c>
      <c r="F3" s="66" t="inlineStr">
        <is>
          <t>Assessment</t>
        </is>
      </c>
    </row>
    <row r="4" ht="42" customHeight="1">
      <c r="A4" s="31" t="inlineStr">
        <is>
          <t>FY24 AR / call</t>
        </is>
      </c>
      <c r="B4" s="31" t="inlineStr">
        <is>
          <t>Revenue growth 12-14% in FY25 on stable occupancy &amp; ARPOB</t>
        </is>
      </c>
      <c r="C4" s="31" t="inlineStr">
        <is>
          <t>Revenue growth</t>
        </is>
      </c>
      <c r="D4" s="31" t="inlineStr">
        <is>
          <t>12-14% (organic guidance)</t>
        </is>
      </c>
      <c r="E4" s="31" t="inlineStr">
        <is>
          <t>FY25 +30% (incl. Jaypee/Sahara acq.)</t>
        </is>
      </c>
      <c r="F4" s="31" t="inlineStr">
        <is>
          <t>Beat (inorganic-led)</t>
        </is>
      </c>
    </row>
    <row r="5" ht="42" customHeight="1">
      <c r="A5" s="31" t="inlineStr">
        <is>
          <t>Ongoing</t>
        </is>
      </c>
      <c r="B5" s="31" t="inlineStr">
        <is>
          <t>Double bed capacity in ~4-5 years (organic + inorganic)</t>
        </is>
      </c>
      <c r="C5" s="31" t="inlineStr">
        <is>
          <t>Beds</t>
        </is>
      </c>
      <c r="D5" s="31" t="inlineStr">
        <is>
          <t>~14,500 network beds</t>
        </is>
      </c>
      <c r="E5" s="31" t="inlineStr">
        <is>
          <t>On track: 6,131 network; pipeline firmed</t>
        </is>
      </c>
      <c r="F5" s="31" t="inlineStr">
        <is>
          <t>Credible</t>
        </is>
      </c>
    </row>
    <row r="6" ht="42" customHeight="1">
      <c r="A6" s="31" t="inlineStr">
        <is>
          <t>Q4FY26 call</t>
        </is>
      </c>
      <c r="B6" s="31" t="inlineStr">
        <is>
          <t>New brownfield beds to ramp with operating leverage as occupancy builds</t>
        </is>
      </c>
      <c r="C6" s="31" t="inlineStr">
        <is>
          <t>EBITDA margin</t>
        </is>
      </c>
      <c r="D6" s="31" t="inlineStr">
        <is>
          <t>Margin recovery medium-term</t>
        </is>
      </c>
      <c r="E6" s="31" t="inlineStr">
        <is>
          <t>FY26 PBIDT margin 28.2% (stable)</t>
        </is>
      </c>
      <c r="F6" s="31" t="inlineStr">
        <is>
          <t>In line</t>
        </is>
      </c>
    </row>
    <row r="7" ht="42" customHeight="1">
      <c r="A7" s="31" t="inlineStr">
        <is>
          <t>Q4FY26 call</t>
        </is>
      </c>
      <c r="B7" s="31" t="inlineStr">
        <is>
          <t>Sector-56 Gurgaon (500 beds) to commission by end FY27</t>
        </is>
      </c>
      <c r="C7" s="31" t="inlineStr">
        <is>
          <t>Bed additions</t>
        </is>
      </c>
      <c r="D7" s="31" t="inlineStr">
        <is>
          <t>+500 beds FY27</t>
        </is>
      </c>
      <c r="E7" s="31" t="inlineStr">
        <is>
          <t>In progress (interior/facade started)</t>
        </is>
      </c>
      <c r="F7" s="31" t="inlineStr">
        <is>
          <t>On track</t>
        </is>
      </c>
    </row>
    <row r="8" ht="42" customHeight="1">
      <c r="A8" s="31" t="inlineStr">
        <is>
          <t>Q4FY26 call</t>
        </is>
      </c>
      <c r="B8" s="31" t="inlineStr">
        <is>
          <t>Occupancy sustained &gt;75% despite new capacity</t>
        </is>
      </c>
      <c r="C8" s="31" t="inlineStr">
        <is>
          <t>Occupancy</t>
        </is>
      </c>
      <c r="D8" s="31" t="inlineStr">
        <is>
          <t>~75%</t>
        </is>
      </c>
      <c r="E8" s="31" t="inlineStr">
        <is>
          <t>FY26 74.7% (network &gt;75%)</t>
        </is>
      </c>
      <c r="F8" s="31" t="inlineStr">
        <is>
          <t>In line</t>
        </is>
      </c>
    </row>
    <row r="9" ht="42" customHeight="1">
      <c r="A9" s="31" t="inlineStr">
        <is>
          <t>Q4FY26 call</t>
        </is>
      </c>
      <c r="B9" s="31" t="inlineStr">
        <is>
          <t>Oncology onco-drug discounting drags ARPOB near-term; other specialties to fill</t>
        </is>
      </c>
      <c r="C9" s="31" t="inlineStr">
        <is>
          <t>ARPOB/case-mix</t>
        </is>
      </c>
      <c r="D9" s="31" t="inlineStr">
        <is>
          <t>Normalise as mix shifts</t>
        </is>
      </c>
      <c r="E9" s="31" t="inlineStr">
        <is>
          <t>ARPOB Rs77.9k Q4 (resilient)</t>
        </is>
      </c>
      <c r="F9" s="31" t="inlineStr">
        <is>
          <t>Monitor</t>
        </is>
      </c>
    </row>
    <row r="10" ht="42" customHeight="1">
      <c r="A10" s="31" t="inlineStr">
        <is>
          <t>CARE Oct-2025</t>
        </is>
      </c>
      <c r="B10" s="31" t="inlineStr">
        <is>
          <t>PBILDT margin to sustain &gt;25% through expansion</t>
        </is>
      </c>
      <c r="C10" s="31" t="inlineStr">
        <is>
          <t>EBITDA margin</t>
        </is>
      </c>
      <c r="D10" s="31" t="inlineStr">
        <is>
          <t>greater than 25%</t>
        </is>
      </c>
      <c r="E10" s="31" t="inlineStr">
        <is>
          <t>FY26 26-28%</t>
        </is>
      </c>
      <c r="F10" s="31" t="inlineStr">
        <is>
          <t>In line</t>
        </is>
      </c>
    </row>
    <row r="11" ht="42" customHeight="1">
      <c r="A11" s="31" t="inlineStr">
        <is>
          <t>CARE Oct-2025</t>
        </is>
      </c>
      <c r="B11" s="31" t="inlineStr">
        <is>
          <t>Net leverage to stay &lt;1.5x despite capex</t>
        </is>
      </c>
      <c r="C11" s="31" t="inlineStr">
        <is>
          <t>Net Debt/EBITDA</t>
        </is>
      </c>
      <c r="D11" s="31" t="inlineStr">
        <is>
          <t>&lt;1.5x</t>
        </is>
      </c>
      <c r="E11" s="31" t="inlineStr">
        <is>
          <t>FY26 &lt;1x (network)</t>
        </is>
      </c>
      <c r="F11" s="31" t="inlineStr">
        <is>
          <t>Comfortable</t>
        </is>
      </c>
    </row>
    <row r="13">
      <c r="A13" s="10" t="inlineStr">
        <is>
          <t>Assessment: management has a credible track record on capacity build-out, occupancy discipline and margin sustenance; guidance is generally met or beaten (often via well-integrated M&amp;A). Forward guidance treated as reliable in the base case.</t>
        </is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.5" customWidth="1" min="2" max="2"/>
    <col width="16" customWidth="1" min="3" max="3"/>
    <col width="14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2" customHeight="1">
      <c r="A1" s="14" t="inlineStr">
        <is>
          <t>30.  MODEL CHECKS &amp; QUALITY CONTROL</t>
        </is>
      </c>
    </row>
    <row r="3">
      <c r="C3" s="4" t="inlineStr">
        <is>
          <t>Result</t>
        </is>
      </c>
      <c r="D3" s="4" t="inlineStr">
        <is>
          <t>Max error</t>
        </is>
      </c>
    </row>
    <row r="4">
      <c r="A4" s="5" t="inlineStr">
        <is>
          <t>Balance sheet balances (Assets = E&amp;L)</t>
        </is>
      </c>
      <c r="C4" s="67">
        <f>IF(ABS(D4)&lt;0.5,"OK","ERROR")</f>
        <v/>
      </c>
      <c r="D4" s="7">
        <f>SUMPRODUCT(ABS('Integrated BS'!$I$55:$O$55))</f>
        <v/>
      </c>
    </row>
    <row r="5">
      <c r="A5" s="5" t="inlineStr">
        <is>
          <t>Cash flow closing cash = BS cash</t>
        </is>
      </c>
      <c r="C5" s="67">
        <f>IF(ABS(D5)&lt;0.5,"OK","ERROR")</f>
        <v/>
      </c>
      <c r="D5" s="7">
        <f>SUMPRODUCT(ABS('Integrated CF'!$I$22:$O$22-'Integrated BS'!$I$25:$O$25))</f>
        <v/>
      </c>
    </row>
    <row r="6">
      <c r="A6" s="5" t="inlineStr">
        <is>
          <t>PPE roll-forward ties to BS</t>
        </is>
      </c>
      <c r="C6" s="67">
        <f>IF(ABS(D6)&lt;0.5,"OK","ERROR")</f>
        <v/>
      </c>
      <c r="D6" s="7">
        <f>'Integrated BS'!$O$6-'PPE Depreciation'!$O$9</f>
        <v/>
      </c>
    </row>
    <row r="7">
      <c r="A7" s="5" t="inlineStr">
        <is>
          <t>Debt roll-forward ties to BS</t>
        </is>
      </c>
      <c r="C7" s="67">
        <f>IF(ABS(D7)&lt;0.5,"OK","ERROR")</f>
        <v/>
      </c>
      <c r="D7" s="7">
        <f>('Integrated BS'!$O$38+'Integrated BS'!$O$46)-'Debt Schedule'!$O$6</f>
        <v/>
      </c>
    </row>
    <row r="8">
      <c r="A8" s="5" t="inlineStr">
        <is>
          <t>Revenue: IS = Revenue Build (FY27)</t>
        </is>
      </c>
      <c r="C8" s="67">
        <f>IF(ABS(D8)&lt;0.5,"OK","ERROR")</f>
        <v/>
      </c>
      <c r="D8" s="7">
        <f>'Integrated IS'!$I$5-'Revenue Build'!$I$12</f>
        <v/>
      </c>
    </row>
    <row r="9">
      <c r="A9" s="5" t="inlineStr">
        <is>
          <t>EBITDA: IS = EBITDA Build (FY30)</t>
        </is>
      </c>
      <c r="C9" s="67">
        <f>IF(ABS(D9)&lt;0.5,"OK","ERROR")</f>
        <v/>
      </c>
      <c r="D9" s="7">
        <f>'Integrated IS'!$L$13-'EBITDA Build'!$L$11</f>
        <v/>
      </c>
    </row>
    <row r="10">
      <c r="A10" s="5" t="inlineStr">
        <is>
          <t>Depreciation: IS = PPE schedule (FY29)</t>
        </is>
      </c>
      <c r="C10" s="67">
        <f>IF(ABS(D10)&lt;0.5,"OK","ERROR")</f>
        <v/>
      </c>
      <c r="D10" s="7">
        <f>'Integrated IS'!$K$16-'PPE Depreciation'!$K$18</f>
        <v/>
      </c>
    </row>
    <row r="11">
      <c r="A11" s="5" t="inlineStr">
        <is>
          <t>Working capital ties to BS receivables (FY31)</t>
        </is>
      </c>
      <c r="C11" s="67">
        <f>IF(ABS(D11)&lt;0.5,"OK","ERROR")</f>
        <v/>
      </c>
      <c r="D11" s="7">
        <f>'Integrated BS'!$M$24-'Working Capital'!$M$6</f>
        <v/>
      </c>
    </row>
    <row r="12">
      <c r="A12" s="5" t="inlineStr">
        <is>
          <t>Historical BS balances (FY20-26)</t>
        </is>
      </c>
      <c r="C12" s="67">
        <f>IF(ABS(D12)&lt;0.5,"OK","ERROR")</f>
        <v/>
      </c>
      <c r="D12" s="7">
        <f>SUMPRODUCT(ABS('Historical BS'!$B$55:$H$55))</f>
        <v/>
      </c>
    </row>
    <row r="13">
      <c r="A13" s="10" t="inlineStr">
        <is>
          <t>Colour coding: BLUE = hardcoded input | BLACK = same-sheet calculation | GREEN = cross-sheet link.</t>
        </is>
      </c>
    </row>
    <row r="14">
      <c r="A14" s="10" t="inlineStr">
        <is>
          <t>No circular references: interest is computed on average scheduled debt (drawdowns/repayments are inputs, not cash-sweep). Cash flows from the CF statement into BS cash.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2026-07-25T18:24:16Z</dcterms:created>
  <dcterms:modified xsi:type="dcterms:W3CDTF">2026-07-25T18:24:16Z</dcterms:modified>
</cp:coreProperties>
</file>